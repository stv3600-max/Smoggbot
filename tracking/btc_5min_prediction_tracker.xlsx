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et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EXAMPLE ROW - overwrite it with your first real observation, or delete the row.
The $100,000 price is an illustrative placeholder to show the expected number format. It is not a real or current BTC quote; this session has no market data access. Columns E, G and H filled themselves.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Even-money assumption, supplied as the default (NOT sourced from any market).
1.00x means a winning $100 bet profits +$100 and a loser is -$100.
A real Polymarket position pays $100/entry_price, so profit depends on the odds you got. Tracking that properly needs an entry-price column, which is not in the requested column list. Change this cell if you want a different flat payout.</t>
        </r>
      </text>
    </comment>
    <comment ref="B3" authorId="0">
      <text>
        <r>
          <rPr>
            <sz val="10"/>
            <rFont val="Arial"/>
            <family val="2"/>
          </rPr>
          <t xml:space="preserve">Per-row bet size requested by the user ($100). Column E of the tracker reads this cell, so changing it here changes every unstarted row.</t>
        </r>
      </text>
    </comment>
  </commentList>
</comments>
</file>

<file path=xl/sharedStrings.xml><?xml version="1.0" encoding="utf-8"?>
<sst xmlns="http://schemas.openxmlformats.org/spreadsheetml/2006/main" count="40" uniqueCount="40">
  <si>
    <t xml:space="preserve">Time</t>
  </si>
  <si>
    <t xml:space="preserve">BTC price</t>
  </si>
  <si>
    <t xml:space="preserve">Prediction (Up/Down)</t>
  </si>
  <si>
    <t xml:space="preserve">Confidence</t>
  </si>
  <si>
    <t xml:space="preserve">Fake bet $ 100</t>
  </si>
  <si>
    <t xml:space="preserve">BTC price 5 min later</t>
  </si>
  <si>
    <t xml:space="preserve">Win/Loss</t>
  </si>
  <si>
    <t xml:space="preserve">Running total</t>
  </si>
  <si>
    <t xml:space="preserve">How to use this sheet</t>
  </si>
  <si>
    <t xml:space="preserve">Up</t>
  </si>
  <si>
    <t xml:space="preserve">Blue cells are yours to type:</t>
  </si>
  <si>
    <t xml:space="preserve">    Time  -  when you make the call (HH:MM)</t>
  </si>
  <si>
    <t xml:space="preserve">    BTC price  -  spot at that moment</t>
  </si>
  <si>
    <t xml:space="preserve">    Prediction  -  Up or Down (dropdown)</t>
  </si>
  <si>
    <t xml:space="preserve">    Confidence  -  e.g. 65%</t>
  </si>
  <si>
    <t xml:space="preserve">    BTC price 5 min later  -  spot after 5 min</t>
  </si>
  <si>
    <t xml:space="preserve">Black cells calculate themselves:</t>
  </si>
  <si>
    <t xml:space="preserve">    Fake bet $ 100  -  reads Setup!B3</t>
  </si>
  <si>
    <t xml:space="preserve">    Win/Loss  -  scores your call (ties = Push)</t>
  </si>
  <si>
    <t xml:space="preserve">    Running total  -  cumulative P&amp;L</t>
  </si>
  <si>
    <t xml:space="preserve">Row 2 is a worked example. Overwrite or</t>
  </si>
  <si>
    <t xml:space="preserve">delete it. Its prices are placeholders, not</t>
  </si>
  <si>
    <t xml:space="preserve">real quotes. Payout and bet size live on the</t>
  </si>
  <si>
    <t xml:space="preserve">Setup tab.</t>
  </si>
  <si>
    <t xml:space="preserve">Setup / assumptions</t>
  </si>
  <si>
    <t xml:space="preserve">Win payout multiple</t>
  </si>
  <si>
    <t xml:space="preserve">Default fake bet ($)</t>
  </si>
  <si>
    <t xml:space="preserve">Notes</t>
  </si>
  <si>
    <t xml:space="preserve">1.  'Fake bet $ 100' (column E) is a formula reading Setup!B3, so it stays $100 unless you change B3.</t>
  </si>
  <si>
    <t xml:space="preserve">     To vary a single row's stake, type a number straight over that one cell.</t>
  </si>
  <si>
    <t xml:space="preserve">2.  Win/Loss (column G) compares 'BTC price 5 min later' against 'BTC price' in the direction you predicted.</t>
  </si>
  <si>
    <t xml:space="preserve">     Exactly equal prices are scored 'Push' and move the running total by $0.</t>
  </si>
  <si>
    <t xml:space="preserve">3.  Running total (column H) = cumulative P&amp;L through that row: wins x bet x payout multiple, minus losses.</t>
  </si>
  <si>
    <t xml:space="preserve">     It is a self-contained SUMIFS over the rows above, so deleting a middle row will not break it.</t>
  </si>
  <si>
    <t xml:space="preserve">4.  Confidence (column D) is stored as a percentage. 65% is typed as 65%, not 65 or 0.65.</t>
  </si>
  <si>
    <t xml:space="preserve">     Below 50% on a two-way Up/Down call means you would rather take the other side, so the sheet warns there.</t>
  </si>
  <si>
    <t xml:space="preserve">5.  Time (column A) is formatted HH:MM. Logging across more than one day? Reformat column A as</t>
  </si>
  <si>
    <t xml:space="preserve">     'yyyy-mm-dd hh:mm' and type the date too; nothing else in the sheet depends on that format.</t>
  </si>
  <si>
    <t xml:space="preserve">6.  No BTC price in this workbook came from a live feed. The example row in the tracker is an</t>
  </si>
  <si>
    <t xml:space="preserve">     illustrative placeholder, not a real quote. Every price is yours to enter.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</si>
</sst>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hh:mm"/>
    <numFmt numFmtId="166" formatCode="\$#,##0.00"/>
    <numFmt numFmtId="167" formatCode="@"/>
    <numFmt numFmtId="168" formatCode="0%"/>
    <numFmt numFmtId="169" formatCode="\$#,##0"/>
    <numFmt numFmtId="170" formatCode="\$#,##0.00;&quot;($&quot;#,##0.00\);\-"/>
    <numFmt numFmtId="171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404040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7E6E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595959"/>
      </font>
      <fill>
        <patternFill>
          <bgColor rgb="FFE7E6E6"/>
        </patternFill>
      </fill>
    </dxf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0" min="10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customFormat="false" ht="15" hidden="false" customHeight="false" outlineLevel="0" collapsed="false">
      <c r="A2" s="3" t="n">
        <v>0.604166666666667</v>
      </c>
      <c r="B2" s="4" t="n">
        <v>100000</v>
      </c>
      <c r="C2" s="5" t="s">
        <v>9</v>
      </c>
      <c r="D2" s="6" t="n">
        <v>0.65</v>
      </c>
      <c r="E2" s="7" t="n">
        <f aca="false">IF(A2="","",Setup!$B$3)</f>
        <v>100</v>
      </c>
      <c r="F2" s="4" t="n">
        <v>100150</v>
      </c>
      <c r="G2" s="8" t="str">
        <f aca="false">IF(OR($B2="",$C2="",$F2=""),"",IF($F2=$B2,"Push",IF(OR(AND($C2="Up",$F2&gt;$B2),AND($C2="Down",$F2&lt;$B2)),"Win","Loss")))</f>
        <v>Win</v>
      </c>
      <c r="H2" s="9" t="n">
        <f aca="false">IF(G2="","",SUMIFS($E$2:E2,$G$2:G2,"Win")*Setup!$B$2-SUMIFS($E$2:E2,$G$2:G2,"Loss"))</f>
        <v>100</v>
      </c>
      <c r="J2" s="10" t="s">
        <v>10</v>
      </c>
    </row>
    <row r="3" customFormat="false" ht="15" hidden="false" customHeight="false" outlineLevel="0" collapsed="false">
      <c r="A3" s="11"/>
      <c r="B3" s="12"/>
      <c r="C3" s="13"/>
      <c r="D3" s="14"/>
      <c r="E3" s="15" t="str">
        <f aca="false">IF(A3="","",Setup!$B$3)</f>
        <v/>
      </c>
      <c r="F3" s="12"/>
      <c r="G3" s="16" t="str">
        <f aca="false">IF(OR($B3="",$C3="",$F3=""),"",IF($F3=$B3,"Push",IF(OR(AND($C3="Up",$F3&gt;$B3),AND($C3="Down",$F3&lt;$B3)),"Win","Loss")))</f>
        <v/>
      </c>
      <c r="H3" s="17" t="str">
        <f aca="false">IF(G3="","",SUMIFS($E$2:E3,$G$2:G3,"Win")*Setup!$B$2-SUMIFS($E$2:E3,$G$2:G3,"Loss"))</f>
        <v/>
      </c>
      <c r="J3" s="18" t="s">
        <v>11</v>
      </c>
    </row>
    <row r="4" customFormat="false" ht="15" hidden="false" customHeight="false" outlineLevel="0" collapsed="false">
      <c r="A4" s="11"/>
      <c r="B4" s="12"/>
      <c r="C4" s="13"/>
      <c r="D4" s="14"/>
      <c r="E4" s="15" t="str">
        <f aca="false">IF(A4="","",Setup!$B$3)</f>
        <v/>
      </c>
      <c r="F4" s="12"/>
      <c r="G4" s="16" t="str">
        <f aca="false">IF(OR($B4="",$C4="",$F4=""),"",IF($F4=$B4,"Push",IF(OR(AND($C4="Up",$F4&gt;$B4),AND($C4="Down",$F4&lt;$B4)),"Win","Loss")))</f>
        <v/>
      </c>
      <c r="H4" s="17" t="str">
        <f aca="false">IF(G4="","",SUMIFS($E$2:E4,$G$2:G4,"Win")*Setup!$B$2-SUMIFS($E$2:E4,$G$2:G4,"Loss"))</f>
        <v/>
      </c>
      <c r="J4" s="18" t="s">
        <v>12</v>
      </c>
    </row>
    <row r="5" customFormat="false" ht="15" hidden="false" customHeight="false" outlineLevel="0" collapsed="false">
      <c r="A5" s="11"/>
      <c r="B5" s="12"/>
      <c r="C5" s="13"/>
      <c r="D5" s="14"/>
      <c r="E5" s="15" t="str">
        <f aca="false">IF(A5="","",Setup!$B$3)</f>
        <v/>
      </c>
      <c r="F5" s="12"/>
      <c r="G5" s="16" t="str">
        <f aca="false">IF(OR($B5="",$C5="",$F5=""),"",IF($F5=$B5,"Push",IF(OR(AND($C5="Up",$F5&gt;$B5),AND($C5="Down",$F5&lt;$B5)),"Win","Loss")))</f>
        <v/>
      </c>
      <c r="H5" s="17" t="str">
        <f aca="false">IF(G5="","",SUMIFS($E$2:E5,$G$2:G5,"Win")*Setup!$B$2-SUMIFS($E$2:E5,$G$2:G5,"Loss"))</f>
        <v/>
      </c>
      <c r="J5" s="18" t="s">
        <v>13</v>
      </c>
    </row>
    <row r="6" customFormat="false" ht="15" hidden="false" customHeight="false" outlineLevel="0" collapsed="false">
      <c r="A6" s="11"/>
      <c r="B6" s="12"/>
      <c r="C6" s="13"/>
      <c r="D6" s="14"/>
      <c r="E6" s="15" t="str">
        <f aca="false">IF(A6="","",Setup!$B$3)</f>
        <v/>
      </c>
      <c r="F6" s="12"/>
      <c r="G6" s="16" t="str">
        <f aca="false">IF(OR($B6="",$C6="",$F6=""),"",IF($F6=$B6,"Push",IF(OR(AND($C6="Up",$F6&gt;$B6),AND($C6="Down",$F6&lt;$B6)),"Win","Loss")))</f>
        <v/>
      </c>
      <c r="H6" s="17" t="str">
        <f aca="false">IF(G6="","",SUMIFS($E$2:E6,$G$2:G6,"Win")*Setup!$B$2-SUMIFS($E$2:E6,$G$2:G6,"Loss"))</f>
        <v/>
      </c>
      <c r="J6" s="18" t="s">
        <v>14</v>
      </c>
    </row>
    <row r="7" customFormat="false" ht="15" hidden="false" customHeight="false" outlineLevel="0" collapsed="false">
      <c r="A7" s="11"/>
      <c r="B7" s="12"/>
      <c r="C7" s="13"/>
      <c r="D7" s="14"/>
      <c r="E7" s="15" t="str">
        <f aca="false">IF(A7="","",Setup!$B$3)</f>
        <v/>
      </c>
      <c r="F7" s="12"/>
      <c r="G7" s="16" t="str">
        <f aca="false">IF(OR($B7="",$C7="",$F7=""),"",IF($F7=$B7,"Push",IF(OR(AND($C7="Up",$F7&gt;$B7),AND($C7="Down",$F7&lt;$B7)),"Win","Loss")))</f>
        <v/>
      </c>
      <c r="H7" s="17" t="str">
        <f aca="false">IF(G7="","",SUMIFS($E$2:E7,$G$2:G7,"Win")*Setup!$B$2-SUMIFS($E$2:E7,$G$2:G7,"Loss"))</f>
        <v/>
      </c>
      <c r="J7" s="18" t="s">
        <v>15</v>
      </c>
    </row>
    <row r="8" customFormat="false" ht="15" hidden="false" customHeight="false" outlineLevel="0" collapsed="false">
      <c r="A8" s="11"/>
      <c r="B8" s="12"/>
      <c r="C8" s="13"/>
      <c r="D8" s="14"/>
      <c r="E8" s="15" t="str">
        <f aca="false">IF(A8="","",Setup!$B$3)</f>
        <v/>
      </c>
      <c r="F8" s="12"/>
      <c r="G8" s="16" t="str">
        <f aca="false">IF(OR($B8="",$C8="",$F8=""),"",IF($F8=$B8,"Push",IF(OR(AND($C8="Up",$F8&gt;$B8),AND($C8="Down",$F8&lt;$B8)),"Win","Loss")))</f>
        <v/>
      </c>
      <c r="H8" s="17" t="str">
        <f aca="false">IF(G8="","",SUMIFS($E$2:E8,$G$2:G8,"Win")*Setup!$B$2-SUMIFS($E$2:E8,$G$2:G8,"Loss"))</f>
        <v/>
      </c>
      <c r="J8" s="18"/>
    </row>
    <row r="9" customFormat="false" ht="15" hidden="false" customHeight="false" outlineLevel="0" collapsed="false">
      <c r="A9" s="11"/>
      <c r="B9" s="12"/>
      <c r="C9" s="13"/>
      <c r="D9" s="14"/>
      <c r="E9" s="15" t="str">
        <f aca="false">IF(A9="","",Setup!$B$3)</f>
        <v/>
      </c>
      <c r="F9" s="12"/>
      <c r="G9" s="16" t="str">
        <f aca="false">IF(OR($B9="",$C9="",$F9=""),"",IF($F9=$B9,"Push",IF(OR(AND($C9="Up",$F9&gt;$B9),AND($C9="Down",$F9&lt;$B9)),"Win","Loss")))</f>
        <v/>
      </c>
      <c r="H9" s="17" t="str">
        <f aca="false">IF(G9="","",SUMIFS($E$2:E9,$G$2:G9,"Win")*Setup!$B$2-SUMIFS($E$2:E9,$G$2:G9,"Loss"))</f>
        <v/>
      </c>
      <c r="J9" s="10" t="s">
        <v>16</v>
      </c>
    </row>
    <row r="10" customFormat="false" ht="15" hidden="false" customHeight="false" outlineLevel="0" collapsed="false">
      <c r="A10" s="11"/>
      <c r="B10" s="12"/>
      <c r="C10" s="13"/>
      <c r="D10" s="14"/>
      <c r="E10" s="15" t="str">
        <f aca="false">IF(A10="","",Setup!$B$3)</f>
        <v/>
      </c>
      <c r="F10" s="12"/>
      <c r="G10" s="16" t="str">
        <f aca="false">IF(OR($B10="",$C10="",$F10=""),"",IF($F10=$B10,"Push",IF(OR(AND($C10="Up",$F10&gt;$B10),AND($C10="Down",$F10&lt;$B10)),"Win","Loss")))</f>
        <v/>
      </c>
      <c r="H10" s="17" t="str">
        <f aca="false">IF(G10="","",SUMIFS($E$2:E10,$G$2:G10,"Win")*Setup!$B$2-SUMIFS($E$2:E10,$G$2:G10,"Loss"))</f>
        <v/>
      </c>
      <c r="J10" s="18" t="s">
        <v>17</v>
      </c>
    </row>
    <row r="11" customFormat="false" ht="15" hidden="false" customHeight="false" outlineLevel="0" collapsed="false">
      <c r="A11" s="11"/>
      <c r="B11" s="12"/>
      <c r="C11" s="13"/>
      <c r="D11" s="14"/>
      <c r="E11" s="15" t="str">
        <f aca="false">IF(A11="","",Setup!$B$3)</f>
        <v/>
      </c>
      <c r="F11" s="12"/>
      <c r="G11" s="16" t="str">
        <f aca="false">IF(OR($B11="",$C11="",$F11=""),"",IF($F11=$B11,"Push",IF(OR(AND($C11="Up",$F11&gt;$B11),AND($C11="Down",$F11&lt;$B11)),"Win","Loss")))</f>
        <v/>
      </c>
      <c r="H11" s="17" t="str">
        <f aca="false">IF(G11="","",SUMIFS($E$2:E11,$G$2:G11,"Win")*Setup!$B$2-SUMIFS($E$2:E11,$G$2:G11,"Loss"))</f>
        <v/>
      </c>
      <c r="J11" s="18" t="s">
        <v>18</v>
      </c>
    </row>
    <row r="12" customFormat="false" ht="15" hidden="false" customHeight="false" outlineLevel="0" collapsed="false">
      <c r="A12" s="11"/>
      <c r="B12" s="12"/>
      <c r="C12" s="13"/>
      <c r="D12" s="14"/>
      <c r="E12" s="15" t="str">
        <f aca="false">IF(A12="","",Setup!$B$3)</f>
        <v/>
      </c>
      <c r="F12" s="12"/>
      <c r="G12" s="16" t="str">
        <f aca="false">IF(OR($B12="",$C12="",$F12=""),"",IF($F12=$B12,"Push",IF(OR(AND($C12="Up",$F12&gt;$B12),AND($C12="Down",$F12&lt;$B12)),"Win","Loss")))</f>
        <v/>
      </c>
      <c r="H12" s="17" t="str">
        <f aca="false">IF(G12="","",SUMIFS($E$2:E12,$G$2:G12,"Win")*Setup!$B$2-SUMIFS($E$2:E12,$G$2:G12,"Loss"))</f>
        <v/>
      </c>
      <c r="J12" s="18" t="s">
        <v>19</v>
      </c>
    </row>
    <row r="13" customFormat="false" ht="15" hidden="false" customHeight="false" outlineLevel="0" collapsed="false">
      <c r="A13" s="11"/>
      <c r="B13" s="12"/>
      <c r="C13" s="13"/>
      <c r="D13" s="14"/>
      <c r="E13" s="15" t="str">
        <f aca="false">IF(A13="","",Setup!$B$3)</f>
        <v/>
      </c>
      <c r="F13" s="12"/>
      <c r="G13" s="16" t="str">
        <f aca="false">IF(OR($B13="",$C13="",$F13=""),"",IF($F13=$B13,"Push",IF(OR(AND($C13="Up",$F13&gt;$B13),AND($C13="Down",$F13&lt;$B13)),"Win","Loss")))</f>
        <v/>
      </c>
      <c r="H13" s="17" t="str">
        <f aca="false">IF(G13="","",SUMIFS($E$2:E13,$G$2:G13,"Win")*Setup!$B$2-SUMIFS($E$2:E13,$G$2:G13,"Loss"))</f>
        <v/>
      </c>
      <c r="J13" s="18"/>
    </row>
    <row r="14" customFormat="false" ht="15" hidden="false" customHeight="false" outlineLevel="0" collapsed="false">
      <c r="A14" s="11"/>
      <c r="B14" s="12"/>
      <c r="C14" s="13"/>
      <c r="D14" s="14"/>
      <c r="E14" s="15" t="str">
        <f aca="false">IF(A14="","",Setup!$B$3)</f>
        <v/>
      </c>
      <c r="F14" s="12"/>
      <c r="G14" s="16" t="str">
        <f aca="false">IF(OR($B14="",$C14="",$F14=""),"",IF($F14=$B14,"Push",IF(OR(AND($C14="Up",$F14&gt;$B14),AND($C14="Down",$F14&lt;$B14)),"Win","Loss")))</f>
        <v/>
      </c>
      <c r="H14" s="17" t="str">
        <f aca="false">IF(G14="","",SUMIFS($E$2:E14,$G$2:G14,"Win")*Setup!$B$2-SUMIFS($E$2:E14,$G$2:G14,"Loss"))</f>
        <v/>
      </c>
      <c r="J14" s="18" t="s">
        <v>20</v>
      </c>
    </row>
    <row r="15" customFormat="false" ht="15" hidden="false" customHeight="false" outlineLevel="0" collapsed="false">
      <c r="A15" s="11"/>
      <c r="B15" s="12"/>
      <c r="C15" s="13"/>
      <c r="D15" s="14"/>
      <c r="E15" s="15" t="str">
        <f aca="false">IF(A15="","",Setup!$B$3)</f>
        <v/>
      </c>
      <c r="F15" s="12"/>
      <c r="G15" s="16" t="str">
        <f aca="false">IF(OR($B15="",$C15="",$F15=""),"",IF($F15=$B15,"Push",IF(OR(AND($C15="Up",$F15&gt;$B15),AND($C15="Down",$F15&lt;$B15)),"Win","Loss")))</f>
        <v/>
      </c>
      <c r="H15" s="17" t="str">
        <f aca="false">IF(G15="","",SUMIFS($E$2:E15,$G$2:G15,"Win")*Setup!$B$2-SUMIFS($E$2:E15,$G$2:G15,"Loss"))</f>
        <v/>
      </c>
      <c r="J15" s="18" t="s">
        <v>21</v>
      </c>
    </row>
    <row r="16" customFormat="false" ht="15" hidden="false" customHeight="false" outlineLevel="0" collapsed="false">
      <c r="A16" s="11"/>
      <c r="B16" s="12"/>
      <c r="C16" s="13"/>
      <c r="D16" s="14"/>
      <c r="E16" s="15" t="str">
        <f aca="false">IF(A16="","",Setup!$B$3)</f>
        <v/>
      </c>
      <c r="F16" s="12"/>
      <c r="G16" s="16" t="str">
        <f aca="false">IF(OR($B16="",$C16="",$F16=""),"",IF($F16=$B16,"Push",IF(OR(AND($C16="Up",$F16&gt;$B16),AND($C16="Down",$F16&lt;$B16)),"Win","Loss")))</f>
        <v/>
      </c>
      <c r="H16" s="17" t="str">
        <f aca="false">IF(G16="","",SUMIFS($E$2:E16,$G$2:G16,"Win")*Setup!$B$2-SUMIFS($E$2:E16,$G$2:G16,"Loss"))</f>
        <v/>
      </c>
      <c r="J16" s="18" t="s">
        <v>22</v>
      </c>
    </row>
    <row r="17" customFormat="false" ht="15" hidden="false" customHeight="false" outlineLevel="0" collapsed="false">
      <c r="A17" s="11"/>
      <c r="B17" s="12"/>
      <c r="C17" s="13"/>
      <c r="D17" s="14"/>
      <c r="E17" s="15" t="str">
        <f aca="false">IF(A17="","",Setup!$B$3)</f>
        <v/>
      </c>
      <c r="F17" s="12"/>
      <c r="G17" s="16" t="str">
        <f aca="false">IF(OR($B17="",$C17="",$F17=""),"",IF($F17=$B17,"Push",IF(OR(AND($C17="Up",$F17&gt;$B17),AND($C17="Down",$F17&lt;$B17)),"Win","Loss")))</f>
        <v/>
      </c>
      <c r="H17" s="17" t="str">
        <f aca="false">IF(G17="","",SUMIFS($E$2:E17,$G$2:G17,"Win")*Setup!$B$2-SUMIFS($E$2:E17,$G$2:G17,"Loss"))</f>
        <v/>
      </c>
      <c r="J17" s="18" t="s">
        <v>23</v>
      </c>
    </row>
    <row r="18" customFormat="false" ht="15" hidden="false" customHeight="false" outlineLevel="0" collapsed="false">
      <c r="A18" s="11"/>
      <c r="B18" s="12"/>
      <c r="C18" s="13"/>
      <c r="D18" s="14"/>
      <c r="E18" s="15" t="str">
        <f aca="false">IF(A18="","",Setup!$B$3)</f>
        <v/>
      </c>
      <c r="F18" s="12"/>
      <c r="G18" s="16" t="str">
        <f aca="false">IF(OR($B18="",$C18="",$F18=""),"",IF($F18=$B18,"Push",IF(OR(AND($C18="Up",$F18&gt;$B18),AND($C18="Down",$F18&lt;$B18)),"Win","Loss")))</f>
        <v/>
      </c>
      <c r="H18" s="17" t="str">
        <f aca="false">IF(G18="","",SUMIFS($E$2:E18,$G$2:G18,"Win")*Setup!$B$2-SUMIFS($E$2:E18,$G$2:G18,"Loss"))</f>
        <v/>
      </c>
    </row>
    <row r="19" customFormat="false" ht="15" hidden="false" customHeight="false" outlineLevel="0" collapsed="false">
      <c r="A19" s="11"/>
      <c r="B19" s="12"/>
      <c r="C19" s="13"/>
      <c r="D19" s="14"/>
      <c r="E19" s="15" t="str">
        <f aca="false">IF(A19="","",Setup!$B$3)</f>
        <v/>
      </c>
      <c r="F19" s="12"/>
      <c r="G19" s="16" t="str">
        <f aca="false">IF(OR($B19="",$C19="",$F19=""),"",IF($F19=$B19,"Push",IF(OR(AND($C19="Up",$F19&gt;$B19),AND($C19="Down",$F19&lt;$B19)),"Win","Loss")))</f>
        <v/>
      </c>
      <c r="H19" s="17" t="str">
        <f aca="false">IF(G19="","",SUMIFS($E$2:E19,$G$2:G19,"Win")*Setup!$B$2-SUMIFS($E$2:E19,$G$2:G19,"Loss"))</f>
        <v/>
      </c>
    </row>
    <row r="20" customFormat="false" ht="15" hidden="false" customHeight="false" outlineLevel="0" collapsed="false">
      <c r="A20" s="11"/>
      <c r="B20" s="12"/>
      <c r="C20" s="13"/>
      <c r="D20" s="14"/>
      <c r="E20" s="15" t="str">
        <f aca="false">IF(A20="","",Setup!$B$3)</f>
        <v/>
      </c>
      <c r="F20" s="12"/>
      <c r="G20" s="16" t="str">
        <f aca="false">IF(OR($B20="",$C20="",$F20=""),"",IF($F20=$B20,"Push",IF(OR(AND($C20="Up",$F20&gt;$B20),AND($C20="Down",$F20&lt;$B20)),"Win","Loss")))</f>
        <v/>
      </c>
      <c r="H20" s="17" t="str">
        <f aca="false">IF(G20="","",SUMIFS($E$2:E20,$G$2:G20,"Win")*Setup!$B$2-SUMIFS($E$2:E20,$G$2:G20,"Loss"))</f>
        <v/>
      </c>
    </row>
    <row r="21" customFormat="false" ht="15" hidden="false" customHeight="false" outlineLevel="0" collapsed="false">
      <c r="A21" s="11"/>
      <c r="B21" s="12"/>
      <c r="C21" s="13"/>
      <c r="D21" s="14"/>
      <c r="E21" s="15" t="str">
        <f aca="false">IF(A21="","",Setup!$B$3)</f>
        <v/>
      </c>
      <c r="F21" s="12"/>
      <c r="G21" s="16" t="str">
        <f aca="false">IF(OR($B21="",$C21="",$F21=""),"",IF($F21=$B21,"Push",IF(OR(AND($C21="Up",$F21&gt;$B21),AND($C21="Down",$F21&lt;$B21)),"Win","Loss")))</f>
        <v/>
      </c>
      <c r="H21" s="17" t="str">
        <f aca="false">IF(G21="","",SUMIFS($E$2:E21,$G$2:G21,"Win")*Setup!$B$2-SUMIFS($E$2:E21,$G$2:G21,"Loss"))</f>
        <v/>
      </c>
    </row>
    <row r="22" customFormat="false" ht="15" hidden="false" customHeight="false" outlineLevel="0" collapsed="false">
      <c r="A22" s="11"/>
      <c r="B22" s="12"/>
      <c r="C22" s="13"/>
      <c r="D22" s="14"/>
      <c r="E22" s="15" t="str">
        <f aca="false">IF(A22="","",Setup!$B$3)</f>
        <v/>
      </c>
      <c r="F22" s="12"/>
      <c r="G22" s="16" t="str">
        <f aca="false">IF(OR($B22="",$C22="",$F22=""),"",IF($F22=$B22,"Push",IF(OR(AND($C22="Up",$F22&gt;$B22),AND($C22="Down",$F22&lt;$B22)),"Win","Loss")))</f>
        <v/>
      </c>
      <c r="H22" s="17" t="str">
        <f aca="false">IF(G22="","",SUMIFS($E$2:E22,$G$2:G22,"Win")*Setup!$B$2-SUMIFS($E$2:E22,$G$2:G22,"Loss"))</f>
        <v/>
      </c>
    </row>
    <row r="23" customFormat="false" ht="15" hidden="false" customHeight="false" outlineLevel="0" collapsed="false">
      <c r="A23" s="11"/>
      <c r="B23" s="12"/>
      <c r="C23" s="13"/>
      <c r="D23" s="14"/>
      <c r="E23" s="15" t="str">
        <f aca="false">IF(A23="","",Setup!$B$3)</f>
        <v/>
      </c>
      <c r="F23" s="12"/>
      <c r="G23" s="16" t="str">
        <f aca="false">IF(OR($B23="",$C23="",$F23=""),"",IF($F23=$B23,"Push",IF(OR(AND($C23="Up",$F23&gt;$B23),AND($C23="Down",$F23&lt;$B23)),"Win","Loss")))</f>
        <v/>
      </c>
      <c r="H23" s="17" t="str">
        <f aca="false">IF(G23="","",SUMIFS($E$2:E23,$G$2:G23,"Win")*Setup!$B$2-SUMIFS($E$2:E23,$G$2:G23,"Loss"))</f>
        <v/>
      </c>
    </row>
    <row r="24" customFormat="false" ht="15" hidden="false" customHeight="false" outlineLevel="0" collapsed="false">
      <c r="A24" s="11"/>
      <c r="B24" s="12"/>
      <c r="C24" s="13"/>
      <c r="D24" s="14"/>
      <c r="E24" s="15" t="str">
        <f aca="false">IF(A24="","",Setup!$B$3)</f>
        <v/>
      </c>
      <c r="F24" s="12"/>
      <c r="G24" s="16" t="str">
        <f aca="false">IF(OR($B24="",$C24="",$F24=""),"",IF($F24=$B24,"Push",IF(OR(AND($C24="Up",$F24&gt;$B24),AND($C24="Down",$F24&lt;$B24)),"Win","Loss")))</f>
        <v/>
      </c>
      <c r="H24" s="17" t="str">
        <f aca="false">IF(G24="","",SUMIFS($E$2:E24,$G$2:G24,"Win")*Setup!$B$2-SUMIFS($E$2:E24,$G$2:G24,"Loss"))</f>
        <v/>
      </c>
    </row>
    <row r="25" customFormat="false" ht="15" hidden="false" customHeight="false" outlineLevel="0" collapsed="false">
      <c r="A25" s="11"/>
      <c r="B25" s="12"/>
      <c r="C25" s="13"/>
      <c r="D25" s="14"/>
      <c r="E25" s="15" t="str">
        <f aca="false">IF(A25="","",Setup!$B$3)</f>
        <v/>
      </c>
      <c r="F25" s="12"/>
      <c r="G25" s="16" t="str">
        <f aca="false">IF(OR($B25="",$C25="",$F25=""),"",IF($F25=$B25,"Push",IF(OR(AND($C25="Up",$F25&gt;$B25),AND($C25="Down",$F25&lt;$B25)),"Win","Loss")))</f>
        <v/>
      </c>
      <c r="H25" s="17" t="str">
        <f aca="false">IF(G25="","",SUMIFS($E$2:E25,$G$2:G25,"Win")*Setup!$B$2-SUMIFS($E$2:E25,$G$2:G25,"Loss"))</f>
        <v/>
      </c>
    </row>
    <row r="26" customFormat="false" ht="15" hidden="false" customHeight="false" outlineLevel="0" collapsed="false">
      <c r="A26" s="11"/>
      <c r="B26" s="12"/>
      <c r="C26" s="13"/>
      <c r="D26" s="14"/>
      <c r="E26" s="15" t="str">
        <f aca="false">IF(A26="","",Setup!$B$3)</f>
        <v/>
      </c>
      <c r="F26" s="12"/>
      <c r="G26" s="16" t="str">
        <f aca="false">IF(OR($B26="",$C26="",$F26=""),"",IF($F26=$B26,"Push",IF(OR(AND($C26="Up",$F26&gt;$B26),AND($C26="Down",$F26&lt;$B26)),"Win","Loss")))</f>
        <v/>
      </c>
      <c r="H26" s="17" t="str">
        <f aca="false">IF(G26="","",SUMIFS($E$2:E26,$G$2:G26,"Win")*Setup!$B$2-SUMIFS($E$2:E26,$G$2:G26,"Loss"))</f>
        <v/>
      </c>
    </row>
    <row r="27" customFormat="false" ht="15" hidden="false" customHeight="false" outlineLevel="0" collapsed="false">
      <c r="A27" s="11"/>
      <c r="B27" s="12"/>
      <c r="C27" s="13"/>
      <c r="D27" s="14"/>
      <c r="E27" s="15" t="str">
        <f aca="false">IF(A27="","",Setup!$B$3)</f>
        <v/>
      </c>
      <c r="F27" s="12"/>
      <c r="G27" s="16" t="str">
        <f aca="false">IF(OR($B27="",$C27="",$F27=""),"",IF($F27=$B27,"Push",IF(OR(AND($C27="Up",$F27&gt;$B27),AND($C27="Down",$F27&lt;$B27)),"Win","Loss")))</f>
        <v/>
      </c>
      <c r="H27" s="17" t="str">
        <f aca="false">IF(G27="","",SUMIFS($E$2:E27,$G$2:G27,"Win")*Setup!$B$2-SUMIFS($E$2:E27,$G$2:G27,"Loss"))</f>
        <v/>
      </c>
    </row>
    <row r="28" customFormat="false" ht="15" hidden="false" customHeight="false" outlineLevel="0" collapsed="false">
      <c r="A28" s="11"/>
      <c r="B28" s="12"/>
      <c r="C28" s="13"/>
      <c r="D28" s="14"/>
      <c r="E28" s="15" t="str">
        <f aca="false">IF(A28="","",Setup!$B$3)</f>
        <v/>
      </c>
      <c r="F28" s="12"/>
      <c r="G28" s="16" t="str">
        <f aca="false">IF(OR($B28="",$C28="",$F28=""),"",IF($F28=$B28,"Push",IF(OR(AND($C28="Up",$F28&gt;$B28),AND($C28="Down",$F28&lt;$B28)),"Win","Loss")))</f>
        <v/>
      </c>
      <c r="H28" s="17" t="str">
        <f aca="false">IF(G28="","",SUMIFS($E$2:E28,$G$2:G28,"Win")*Setup!$B$2-SUMIFS($E$2:E28,$G$2:G28,"Loss"))</f>
        <v/>
      </c>
    </row>
    <row r="29" customFormat="false" ht="15" hidden="false" customHeight="false" outlineLevel="0" collapsed="false">
      <c r="A29" s="11"/>
      <c r="B29" s="12"/>
      <c r="C29" s="13"/>
      <c r="D29" s="14"/>
      <c r="E29" s="15" t="str">
        <f aca="false">IF(A29="","",Setup!$B$3)</f>
        <v/>
      </c>
      <c r="F29" s="12"/>
      <c r="G29" s="16" t="str">
        <f aca="false">IF(OR($B29="",$C29="",$F29=""),"",IF($F29=$B29,"Push",IF(OR(AND($C29="Up",$F29&gt;$B29),AND($C29="Down",$F29&lt;$B29)),"Win","Loss")))</f>
        <v/>
      </c>
      <c r="H29" s="17" t="str">
        <f aca="false">IF(G29="","",SUMIFS($E$2:E29,$G$2:G29,"Win")*Setup!$B$2-SUMIFS($E$2:E29,$G$2:G29,"Loss"))</f>
        <v/>
      </c>
    </row>
    <row r="30" customFormat="false" ht="15" hidden="false" customHeight="false" outlineLevel="0" collapsed="false">
      <c r="A30" s="11"/>
      <c r="B30" s="12"/>
      <c r="C30" s="13"/>
      <c r="D30" s="14"/>
      <c r="E30" s="15" t="str">
        <f aca="false">IF(A30="","",Setup!$B$3)</f>
        <v/>
      </c>
      <c r="F30" s="12"/>
      <c r="G30" s="16" t="str">
        <f aca="false">IF(OR($B30="",$C30="",$F30=""),"",IF($F30=$B30,"Push",IF(OR(AND($C30="Up",$F30&gt;$B30),AND($C30="Down",$F30&lt;$B30)),"Win","Loss")))</f>
        <v/>
      </c>
      <c r="H30" s="17" t="str">
        <f aca="false">IF(G30="","",SUMIFS($E$2:E30,$G$2:G30,"Win")*Setup!$B$2-SUMIFS($E$2:E30,$G$2:G30,"Loss"))</f>
        <v/>
      </c>
    </row>
    <row r="31" customFormat="false" ht="15" hidden="false" customHeight="false" outlineLevel="0" collapsed="false">
      <c r="A31" s="11"/>
      <c r="B31" s="12"/>
      <c r="C31" s="13"/>
      <c r="D31" s="14"/>
      <c r="E31" s="15" t="str">
        <f aca="false">IF(A31="","",Setup!$B$3)</f>
        <v/>
      </c>
      <c r="F31" s="12"/>
      <c r="G31" s="16" t="str">
        <f aca="false">IF(OR($B31="",$C31="",$F31=""),"",IF($F31=$B31,"Push",IF(OR(AND($C31="Up",$F31&gt;$B31),AND($C31="Down",$F31&lt;$B31)),"Win","Loss")))</f>
        <v/>
      </c>
      <c r="H31" s="17" t="str">
        <f aca="false">IF(G31="","",SUMIFS($E$2:E31,$G$2:G31,"Win")*Setup!$B$2-SUMIFS($E$2:E31,$G$2:G31,"Loss"))</f>
        <v/>
      </c>
    </row>
    <row r="32" customFormat="false" ht="15" hidden="false" customHeight="false" outlineLevel="0" collapsed="false">
      <c r="A32" s="11"/>
      <c r="B32" s="12"/>
      <c r="C32" s="13"/>
      <c r="D32" s="14"/>
      <c r="E32" s="15" t="str">
        <f aca="false">IF(A32="","",Setup!$B$3)</f>
        <v/>
      </c>
      <c r="F32" s="12"/>
      <c r="G32" s="16" t="str">
        <f aca="false">IF(OR($B32="",$C32="",$F32=""),"",IF($F32=$B32,"Push",IF(OR(AND($C32="Up",$F32&gt;$B32),AND($C32="Down",$F32&lt;$B32)),"Win","Loss")))</f>
        <v/>
      </c>
      <c r="H32" s="17" t="str">
        <f aca="false">IF(G32="","",SUMIFS($E$2:E32,$G$2:G32,"Win")*Setup!$B$2-SUMIFS($E$2:E32,$G$2:G32,"Loss"))</f>
        <v/>
      </c>
    </row>
    <row r="33" customFormat="false" ht="15" hidden="false" customHeight="false" outlineLevel="0" collapsed="false">
      <c r="A33" s="11"/>
      <c r="B33" s="12"/>
      <c r="C33" s="13"/>
      <c r="D33" s="14"/>
      <c r="E33" s="15" t="str">
        <f aca="false">IF(A33="","",Setup!$B$3)</f>
        <v/>
      </c>
      <c r="F33" s="12"/>
      <c r="G33" s="16" t="str">
        <f aca="false">IF(OR($B33="",$C33="",$F33=""),"",IF($F33=$B33,"Push",IF(OR(AND($C33="Up",$F33&gt;$B33),AND($C33="Down",$F33&lt;$B33)),"Win","Loss")))</f>
        <v/>
      </c>
      <c r="H33" s="17" t="str">
        <f aca="false">IF(G33="","",SUMIFS($E$2:E33,$G$2:G33,"Win")*Setup!$B$2-SUMIFS($E$2:E33,$G$2:G33,"Loss"))</f>
        <v/>
      </c>
    </row>
    <row r="34" customFormat="false" ht="15" hidden="false" customHeight="false" outlineLevel="0" collapsed="false">
      <c r="A34" s="11"/>
      <c r="B34" s="12"/>
      <c r="C34" s="13"/>
      <c r="D34" s="14"/>
      <c r="E34" s="15" t="str">
        <f aca="false">IF(A34="","",Setup!$B$3)</f>
        <v/>
      </c>
      <c r="F34" s="12"/>
      <c r="G34" s="16" t="str">
        <f aca="false">IF(OR($B34="",$C34="",$F34=""),"",IF($F34=$B34,"Push",IF(OR(AND($C34="Up",$F34&gt;$B34),AND($C34="Down",$F34&lt;$B34)),"Win","Loss")))</f>
        <v/>
      </c>
      <c r="H34" s="17" t="str">
        <f aca="false">IF(G34="","",SUMIFS($E$2:E34,$G$2:G34,"Win")*Setup!$B$2-SUMIFS($E$2:E34,$G$2:G34,"Loss"))</f>
        <v/>
      </c>
    </row>
    <row r="35" customFormat="false" ht="15" hidden="false" customHeight="false" outlineLevel="0" collapsed="false">
      <c r="A35" s="11"/>
      <c r="B35" s="12"/>
      <c r="C35" s="13"/>
      <c r="D35" s="14"/>
      <c r="E35" s="15" t="str">
        <f aca="false">IF(A35="","",Setup!$B$3)</f>
        <v/>
      </c>
      <c r="F35" s="12"/>
      <c r="G35" s="16" t="str">
        <f aca="false">IF(OR($B35="",$C35="",$F35=""),"",IF($F35=$B35,"Push",IF(OR(AND($C35="Up",$F35&gt;$B35),AND($C35="Down",$F35&lt;$B35)),"Win","Loss")))</f>
        <v/>
      </c>
      <c r="H35" s="17" t="str">
        <f aca="false">IF(G35="","",SUMIFS($E$2:E35,$G$2:G35,"Win")*Setup!$B$2-SUMIFS($E$2:E35,$G$2:G35,"Loss"))</f>
        <v/>
      </c>
    </row>
    <row r="36" customFormat="false" ht="15" hidden="false" customHeight="false" outlineLevel="0" collapsed="false">
      <c r="A36" s="11"/>
      <c r="B36" s="12"/>
      <c r="C36" s="13"/>
      <c r="D36" s="14"/>
      <c r="E36" s="15" t="str">
        <f aca="false">IF(A36="","",Setup!$B$3)</f>
        <v/>
      </c>
      <c r="F36" s="12"/>
      <c r="G36" s="16" t="str">
        <f aca="false">IF(OR($B36="",$C36="",$F36=""),"",IF($F36=$B36,"Push",IF(OR(AND($C36="Up",$F36&gt;$B36),AND($C36="Down",$F36&lt;$B36)),"Win","Loss")))</f>
        <v/>
      </c>
      <c r="H36" s="17" t="str">
        <f aca="false">IF(G36="","",SUMIFS($E$2:E36,$G$2:G36,"Win")*Setup!$B$2-SUMIFS($E$2:E36,$G$2:G36,"Loss"))</f>
        <v/>
      </c>
    </row>
    <row r="37" customFormat="false" ht="15" hidden="false" customHeight="false" outlineLevel="0" collapsed="false">
      <c r="A37" s="11"/>
      <c r="B37" s="12"/>
      <c r="C37" s="13"/>
      <c r="D37" s="14"/>
      <c r="E37" s="15" t="str">
        <f aca="false">IF(A37="","",Setup!$B$3)</f>
        <v/>
      </c>
      <c r="F37" s="12"/>
      <c r="G37" s="16" t="str">
        <f aca="false">IF(OR($B37="",$C37="",$F37=""),"",IF($F37=$B37,"Push",IF(OR(AND($C37="Up",$F37&gt;$B37),AND($C37="Down",$F37&lt;$B37)),"Win","Loss")))</f>
        <v/>
      </c>
      <c r="H37" s="17" t="str">
        <f aca="false">IF(G37="","",SUMIFS($E$2:E37,$G$2:G37,"Win")*Setup!$B$2-SUMIFS($E$2:E37,$G$2:G37,"Loss"))</f>
        <v/>
      </c>
    </row>
    <row r="38" customFormat="false" ht="15" hidden="false" customHeight="false" outlineLevel="0" collapsed="false">
      <c r="A38" s="11"/>
      <c r="B38" s="12"/>
      <c r="C38" s="13"/>
      <c r="D38" s="14"/>
      <c r="E38" s="15" t="str">
        <f aca="false">IF(A38="","",Setup!$B$3)</f>
        <v/>
      </c>
      <c r="F38" s="12"/>
      <c r="G38" s="16" t="str">
        <f aca="false">IF(OR($B38="",$C38="",$F38=""),"",IF($F38=$B38,"Push",IF(OR(AND($C38="Up",$F38&gt;$B38),AND($C38="Down",$F38&lt;$B38)),"Win","Loss")))</f>
        <v/>
      </c>
      <c r="H38" s="17" t="str">
        <f aca="false">IF(G38="","",SUMIFS($E$2:E38,$G$2:G38,"Win")*Setup!$B$2-SUMIFS($E$2:E38,$G$2:G38,"Loss"))</f>
        <v/>
      </c>
    </row>
    <row r="39" customFormat="false" ht="15" hidden="false" customHeight="false" outlineLevel="0" collapsed="false">
      <c r="A39" s="11"/>
      <c r="B39" s="12"/>
      <c r="C39" s="13"/>
      <c r="D39" s="14"/>
      <c r="E39" s="15" t="str">
        <f aca="false">IF(A39="","",Setup!$B$3)</f>
        <v/>
      </c>
      <c r="F39" s="12"/>
      <c r="G39" s="16" t="str">
        <f aca="false">IF(OR($B39="",$C39="",$F39=""),"",IF($F39=$B39,"Push",IF(OR(AND($C39="Up",$F39&gt;$B39),AND($C39="Down",$F39&lt;$B39)),"Win","Loss")))</f>
        <v/>
      </c>
      <c r="H39" s="17" t="str">
        <f aca="false">IF(G39="","",SUMIFS($E$2:E39,$G$2:G39,"Win")*Setup!$B$2-SUMIFS($E$2:E39,$G$2:G39,"Loss"))</f>
        <v/>
      </c>
    </row>
    <row r="40" customFormat="false" ht="15" hidden="false" customHeight="false" outlineLevel="0" collapsed="false">
      <c r="A40" s="11"/>
      <c r="B40" s="12"/>
      <c r="C40" s="13"/>
      <c r="D40" s="14"/>
      <c r="E40" s="15" t="str">
        <f aca="false">IF(A40="","",Setup!$B$3)</f>
        <v/>
      </c>
      <c r="F40" s="12"/>
      <c r="G40" s="16" t="str">
        <f aca="false">IF(OR($B40="",$C40="",$F40=""),"",IF($F40=$B40,"Push",IF(OR(AND($C40="Up",$F40&gt;$B40),AND($C40="Down",$F40&lt;$B40)),"Win","Loss")))</f>
        <v/>
      </c>
      <c r="H40" s="17" t="str">
        <f aca="false">IF(G40="","",SUMIFS($E$2:E40,$G$2:G40,"Win")*Setup!$B$2-SUMIFS($E$2:E40,$G$2:G40,"Loss"))</f>
        <v/>
      </c>
    </row>
    <row r="41" customFormat="false" ht="15" hidden="false" customHeight="false" outlineLevel="0" collapsed="false">
      <c r="A41" s="11"/>
      <c r="B41" s="12"/>
      <c r="C41" s="13"/>
      <c r="D41" s="14"/>
      <c r="E41" s="15" t="str">
        <f aca="false">IF(A41="","",Setup!$B$3)</f>
        <v/>
      </c>
      <c r="F41" s="12"/>
      <c r="G41" s="16" t="str">
        <f aca="false">IF(OR($B41="",$C41="",$F41=""),"",IF($F41=$B41,"Push",IF(OR(AND($C41="Up",$F41&gt;$B41),AND($C41="Down",$F41&lt;$B41)),"Win","Loss")))</f>
        <v/>
      </c>
      <c r="H41" s="17" t="str">
        <f aca="false">IF(G41="","",SUMIFS($E$2:E41,$G$2:G41,"Win")*Setup!$B$2-SUMIFS($E$2:E41,$G$2:G41,"Loss"))</f>
        <v/>
      </c>
    </row>
    <row r="42" customFormat="false" ht="15" hidden="false" customHeight="false" outlineLevel="0" collapsed="false">
      <c r="A42" s="11"/>
      <c r="B42" s="12"/>
      <c r="C42" s="13"/>
      <c r="D42" s="14"/>
      <c r="E42" s="15" t="str">
        <f aca="false">IF(A42="","",Setup!$B$3)</f>
        <v/>
      </c>
      <c r="F42" s="12"/>
      <c r="G42" s="16" t="str">
        <f aca="false">IF(OR($B42="",$C42="",$F42=""),"",IF($F42=$B42,"Push",IF(OR(AND($C42="Up",$F42&gt;$B42),AND($C42="Down",$F42&lt;$B42)),"Win","Loss")))</f>
        <v/>
      </c>
      <c r="H42" s="17" t="str">
        <f aca="false">IF(G42="","",SUMIFS($E$2:E42,$G$2:G42,"Win")*Setup!$B$2-SUMIFS($E$2:E42,$G$2:G42,"Loss"))</f>
        <v/>
      </c>
    </row>
    <row r="43" customFormat="false" ht="15" hidden="false" customHeight="false" outlineLevel="0" collapsed="false">
      <c r="A43" s="11"/>
      <c r="B43" s="12"/>
      <c r="C43" s="13"/>
      <c r="D43" s="14"/>
      <c r="E43" s="15" t="str">
        <f aca="false">IF(A43="","",Setup!$B$3)</f>
        <v/>
      </c>
      <c r="F43" s="12"/>
      <c r="G43" s="16" t="str">
        <f aca="false">IF(OR($B43="",$C43="",$F43=""),"",IF($F43=$B43,"Push",IF(OR(AND($C43="Up",$F43&gt;$B43),AND($C43="Down",$F43&lt;$B43)),"Win","Loss")))</f>
        <v/>
      </c>
      <c r="H43" s="17" t="str">
        <f aca="false">IF(G43="","",SUMIFS($E$2:E43,$G$2:G43,"Win")*Setup!$B$2-SUMIFS($E$2:E43,$G$2:G43,"Loss"))</f>
        <v/>
      </c>
    </row>
    <row r="44" customFormat="false" ht="15" hidden="false" customHeight="false" outlineLevel="0" collapsed="false">
      <c r="A44" s="11"/>
      <c r="B44" s="12"/>
      <c r="C44" s="13"/>
      <c r="D44" s="14"/>
      <c r="E44" s="15" t="str">
        <f aca="false">IF(A44="","",Setup!$B$3)</f>
        <v/>
      </c>
      <c r="F44" s="12"/>
      <c r="G44" s="16" t="str">
        <f aca="false">IF(OR($B44="",$C44="",$F44=""),"",IF($F44=$B44,"Push",IF(OR(AND($C44="Up",$F44&gt;$B44),AND($C44="Down",$F44&lt;$B44)),"Win","Loss")))</f>
        <v/>
      </c>
      <c r="H44" s="17" t="str">
        <f aca="false">IF(G44="","",SUMIFS($E$2:E44,$G$2:G44,"Win")*Setup!$B$2-SUMIFS($E$2:E44,$G$2:G44,"Loss"))</f>
        <v/>
      </c>
    </row>
    <row r="45" customFormat="false" ht="15" hidden="false" customHeight="false" outlineLevel="0" collapsed="false">
      <c r="A45" s="11"/>
      <c r="B45" s="12"/>
      <c r="C45" s="13"/>
      <c r="D45" s="14"/>
      <c r="E45" s="15" t="str">
        <f aca="false">IF(A45="","",Setup!$B$3)</f>
        <v/>
      </c>
      <c r="F45" s="12"/>
      <c r="G45" s="16" t="str">
        <f aca="false">IF(OR($B45="",$C45="",$F45=""),"",IF($F45=$B45,"Push",IF(OR(AND($C45="Up",$F45&gt;$B45),AND($C45="Down",$F45&lt;$B45)),"Win","Loss")))</f>
        <v/>
      </c>
      <c r="H45" s="17" t="str">
        <f aca="false">IF(G45="","",SUMIFS($E$2:E45,$G$2:G45,"Win")*Setup!$B$2-SUMIFS($E$2:E45,$G$2:G45,"Loss"))</f>
        <v/>
      </c>
    </row>
    <row r="46" customFormat="false" ht="15" hidden="false" customHeight="false" outlineLevel="0" collapsed="false">
      <c r="A46" s="11"/>
      <c r="B46" s="12"/>
      <c r="C46" s="13"/>
      <c r="D46" s="14"/>
      <c r="E46" s="15" t="str">
        <f aca="false">IF(A46="","",Setup!$B$3)</f>
        <v/>
      </c>
      <c r="F46" s="12"/>
      <c r="G46" s="16" t="str">
        <f aca="false">IF(OR($B46="",$C46="",$F46=""),"",IF($F46=$B46,"Push",IF(OR(AND($C46="Up",$F46&gt;$B46),AND($C46="Down",$F46&lt;$B46)),"Win","Loss")))</f>
        <v/>
      </c>
      <c r="H46" s="17" t="str">
        <f aca="false">IF(G46="","",SUMIFS($E$2:E46,$G$2:G46,"Win")*Setup!$B$2-SUMIFS($E$2:E46,$G$2:G46,"Loss"))</f>
        <v/>
      </c>
    </row>
    <row r="47" customFormat="false" ht="15" hidden="false" customHeight="false" outlineLevel="0" collapsed="false">
      <c r="A47" s="11"/>
      <c r="B47" s="12"/>
      <c r="C47" s="13"/>
      <c r="D47" s="14"/>
      <c r="E47" s="15" t="str">
        <f aca="false">IF(A47="","",Setup!$B$3)</f>
        <v/>
      </c>
      <c r="F47" s="12"/>
      <c r="G47" s="16" t="str">
        <f aca="false">IF(OR($B47="",$C47="",$F47=""),"",IF($F47=$B47,"Push",IF(OR(AND($C47="Up",$F47&gt;$B47),AND($C47="Down",$F47&lt;$B47)),"Win","Loss")))</f>
        <v/>
      </c>
      <c r="H47" s="17" t="str">
        <f aca="false">IF(G47="","",SUMIFS($E$2:E47,$G$2:G47,"Win")*Setup!$B$2-SUMIFS($E$2:E47,$G$2:G47,"Loss"))</f>
        <v/>
      </c>
    </row>
    <row r="48" customFormat="false" ht="15" hidden="false" customHeight="false" outlineLevel="0" collapsed="false">
      <c r="A48" s="11"/>
      <c r="B48" s="12"/>
      <c r="C48" s="13"/>
      <c r="D48" s="14"/>
      <c r="E48" s="15" t="str">
        <f aca="false">IF(A48="","",Setup!$B$3)</f>
        <v/>
      </c>
      <c r="F48" s="12"/>
      <c r="G48" s="16" t="str">
        <f aca="false">IF(OR($B48="",$C48="",$F48=""),"",IF($F48=$B48,"Push",IF(OR(AND($C48="Up",$F48&gt;$B48),AND($C48="Down",$F48&lt;$B48)),"Win","Loss")))</f>
        <v/>
      </c>
      <c r="H48" s="17" t="str">
        <f aca="false">IF(G48="","",SUMIFS($E$2:E48,$G$2:G48,"Win")*Setup!$B$2-SUMIFS($E$2:E48,$G$2:G48,"Loss"))</f>
        <v/>
      </c>
    </row>
    <row r="49" customFormat="false" ht="15" hidden="false" customHeight="false" outlineLevel="0" collapsed="false">
      <c r="A49" s="11"/>
      <c r="B49" s="12"/>
      <c r="C49" s="13"/>
      <c r="D49" s="14"/>
      <c r="E49" s="15" t="str">
        <f aca="false">IF(A49="","",Setup!$B$3)</f>
        <v/>
      </c>
      <c r="F49" s="12"/>
      <c r="G49" s="16" t="str">
        <f aca="false">IF(OR($B49="",$C49="",$F49=""),"",IF($F49=$B49,"Push",IF(OR(AND($C49="Up",$F49&gt;$B49),AND($C49="Down",$F49&lt;$B49)),"Win","Loss")))</f>
        <v/>
      </c>
      <c r="H49" s="17" t="str">
        <f aca="false">IF(G49="","",SUMIFS($E$2:E49,$G$2:G49,"Win")*Setup!$B$2-SUMIFS($E$2:E49,$G$2:G49,"Loss"))</f>
        <v/>
      </c>
    </row>
    <row r="50" customFormat="false" ht="15" hidden="false" customHeight="false" outlineLevel="0" collapsed="false">
      <c r="A50" s="11"/>
      <c r="B50" s="12"/>
      <c r="C50" s="13"/>
      <c r="D50" s="14"/>
      <c r="E50" s="15" t="str">
        <f aca="false">IF(A50="","",Setup!$B$3)</f>
        <v/>
      </c>
      <c r="F50" s="12"/>
      <c r="G50" s="16" t="str">
        <f aca="false">IF(OR($B50="",$C50="",$F50=""),"",IF($F50=$B50,"Push",IF(OR(AND($C50="Up",$F50&gt;$B50),AND($C50="Down",$F50&lt;$B50)),"Win","Loss")))</f>
        <v/>
      </c>
      <c r="H50" s="17" t="str">
        <f aca="false">IF(G50="","",SUMIFS($E$2:E50,$G$2:G50,"Win")*Setup!$B$2-SUMIFS($E$2:E50,$G$2:G50,"Loss"))</f>
        <v/>
      </c>
    </row>
    <row r="51" customFormat="false" ht="15" hidden="false" customHeight="false" outlineLevel="0" collapsed="false">
      <c r="A51" s="11"/>
      <c r="B51" s="12"/>
      <c r="C51" s="13"/>
      <c r="D51" s="14"/>
      <c r="E51" s="15" t="str">
        <f aca="false">IF(A51="","",Setup!$B$3)</f>
        <v/>
      </c>
      <c r="F51" s="12"/>
      <c r="G51" s="16" t="str">
        <f aca="false">IF(OR($B51="",$C51="",$F51=""),"",IF($F51=$B51,"Push",IF(OR(AND($C51="Up",$F51&gt;$B51),AND($C51="Down",$F51&lt;$B51)),"Win","Loss")))</f>
        <v/>
      </c>
      <c r="H51" s="17" t="str">
        <f aca="false">IF(G51="","",SUMIFS($E$2:E51,$G$2:G51,"Win")*Setup!$B$2-SUMIFS($E$2:E51,$G$2:G51,"Loss"))</f>
        <v/>
      </c>
    </row>
    <row r="52" customFormat="false" ht="15" hidden="false" customHeight="false" outlineLevel="0" collapsed="false">
      <c r="A52" s="11"/>
      <c r="B52" s="12"/>
      <c r="C52" s="13"/>
      <c r="D52" s="14"/>
      <c r="E52" s="15" t="str">
        <f aca="false">IF(A52="","",Setup!$B$3)</f>
        <v/>
      </c>
      <c r="F52" s="12"/>
      <c r="G52" s="16" t="str">
        <f aca="false">IF(OR($B52="",$C52="",$F52=""),"",IF($F52=$B52,"Push",IF(OR(AND($C52="Up",$F52&gt;$B52),AND($C52="Down",$F52&lt;$B52)),"Win","Loss")))</f>
        <v/>
      </c>
      <c r="H52" s="17" t="str">
        <f aca="false">IF(G52="","",SUMIFS($E$2:E52,$G$2:G52,"Win")*Setup!$B$2-SUMIFS($E$2:E52,$G$2:G52,"Loss"))</f>
        <v/>
      </c>
    </row>
    <row r="53" customFormat="false" ht="15" hidden="false" customHeight="false" outlineLevel="0" collapsed="false">
      <c r="A53" s="11"/>
      <c r="B53" s="12"/>
      <c r="C53" s="13"/>
      <c r="D53" s="14"/>
      <c r="E53" s="15" t="str">
        <f aca="false">IF(A53="","",Setup!$B$3)</f>
        <v/>
      </c>
      <c r="F53" s="12"/>
      <c r="G53" s="16" t="str">
        <f aca="false">IF(OR($B53="",$C53="",$F53=""),"",IF($F53=$B53,"Push",IF(OR(AND($C53="Up",$F53&gt;$B53),AND($C53="Down",$F53&lt;$B53)),"Win","Loss")))</f>
        <v/>
      </c>
      <c r="H53" s="17" t="str">
        <f aca="false">IF(G53="","",SUMIFS($E$2:E53,$G$2:G53,"Win")*Setup!$B$2-SUMIFS($E$2:E53,$G$2:G53,"Loss"))</f>
        <v/>
      </c>
    </row>
    <row r="54" customFormat="false" ht="15" hidden="false" customHeight="false" outlineLevel="0" collapsed="false">
      <c r="A54" s="11"/>
      <c r="B54" s="12"/>
      <c r="C54" s="13"/>
      <c r="D54" s="14"/>
      <c r="E54" s="15" t="str">
        <f aca="false">IF(A54="","",Setup!$B$3)</f>
        <v/>
      </c>
      <c r="F54" s="12"/>
      <c r="G54" s="16" t="str">
        <f aca="false">IF(OR($B54="",$C54="",$F54=""),"",IF($F54=$B54,"Push",IF(OR(AND($C54="Up",$F54&gt;$B54),AND($C54="Down",$F54&lt;$B54)),"Win","Loss")))</f>
        <v/>
      </c>
      <c r="H54" s="17" t="str">
        <f aca="false">IF(G54="","",SUMIFS($E$2:E54,$G$2:G54,"Win")*Setup!$B$2-SUMIFS($E$2:E54,$G$2:G54,"Loss"))</f>
        <v/>
      </c>
    </row>
    <row r="55" customFormat="false" ht="15" hidden="false" customHeight="false" outlineLevel="0" collapsed="false">
      <c r="A55" s="11"/>
      <c r="B55" s="12"/>
      <c r="C55" s="13"/>
      <c r="D55" s="14"/>
      <c r="E55" s="15" t="str">
        <f aca="false">IF(A55="","",Setup!$B$3)</f>
        <v/>
      </c>
      <c r="F55" s="12"/>
      <c r="G55" s="16" t="str">
        <f aca="false">IF(OR($B55="",$C55="",$F55=""),"",IF($F55=$B55,"Push",IF(OR(AND($C55="Up",$F55&gt;$B55),AND($C55="Down",$F55&lt;$B55)),"Win","Loss")))</f>
        <v/>
      </c>
      <c r="H55" s="17" t="str">
        <f aca="false">IF(G55="","",SUMIFS($E$2:E55,$G$2:G55,"Win")*Setup!$B$2-SUMIFS($E$2:E55,$G$2:G55,"Loss"))</f>
        <v/>
      </c>
    </row>
    <row r="56" customFormat="false" ht="15" hidden="false" customHeight="false" outlineLevel="0" collapsed="false">
      <c r="A56" s="11"/>
      <c r="B56" s="12"/>
      <c r="C56" s="13"/>
      <c r="D56" s="14"/>
      <c r="E56" s="15" t="str">
        <f aca="false">IF(A56="","",Setup!$B$3)</f>
        <v/>
      </c>
      <c r="F56" s="12"/>
      <c r="G56" s="16" t="str">
        <f aca="false">IF(OR($B56="",$C56="",$F56=""),"",IF($F56=$B56,"Push",IF(OR(AND($C56="Up",$F56&gt;$B56),AND($C56="Down",$F56&lt;$B56)),"Win","Loss")))</f>
        <v/>
      </c>
      <c r="H56" s="17" t="str">
        <f aca="false">IF(G56="","",SUMIFS($E$2:E56,$G$2:G56,"Win")*Setup!$B$2-SUMIFS($E$2:E56,$G$2:G56,"Loss"))</f>
        <v/>
      </c>
    </row>
    <row r="57" customFormat="false" ht="15" hidden="false" customHeight="false" outlineLevel="0" collapsed="false">
      <c r="A57" s="11"/>
      <c r="B57" s="12"/>
      <c r="C57" s="13"/>
      <c r="D57" s="14"/>
      <c r="E57" s="15" t="str">
        <f aca="false">IF(A57="","",Setup!$B$3)</f>
        <v/>
      </c>
      <c r="F57" s="12"/>
      <c r="G57" s="16" t="str">
        <f aca="false">IF(OR($B57="",$C57="",$F57=""),"",IF($F57=$B57,"Push",IF(OR(AND($C57="Up",$F57&gt;$B57),AND($C57="Down",$F57&lt;$B57)),"Win","Loss")))</f>
        <v/>
      </c>
      <c r="H57" s="17" t="str">
        <f aca="false">IF(G57="","",SUMIFS($E$2:E57,$G$2:G57,"Win")*Setup!$B$2-SUMIFS($E$2:E57,$G$2:G57,"Loss"))</f>
        <v/>
      </c>
    </row>
    <row r="58" customFormat="false" ht="15" hidden="false" customHeight="false" outlineLevel="0" collapsed="false">
      <c r="A58" s="11"/>
      <c r="B58" s="12"/>
      <c r="C58" s="13"/>
      <c r="D58" s="14"/>
      <c r="E58" s="15" t="str">
        <f aca="false">IF(A58="","",Setup!$B$3)</f>
        <v/>
      </c>
      <c r="F58" s="12"/>
      <c r="G58" s="16" t="str">
        <f aca="false">IF(OR($B58="",$C58="",$F58=""),"",IF($F58=$B58,"Push",IF(OR(AND($C58="Up",$F58&gt;$B58),AND($C58="Down",$F58&lt;$B58)),"Win","Loss")))</f>
        <v/>
      </c>
      <c r="H58" s="17" t="str">
        <f aca="false">IF(G58="","",SUMIFS($E$2:E58,$G$2:G58,"Win")*Setup!$B$2-SUMIFS($E$2:E58,$G$2:G58,"Loss"))</f>
        <v/>
      </c>
    </row>
    <row r="59" customFormat="false" ht="15" hidden="false" customHeight="false" outlineLevel="0" collapsed="false">
      <c r="A59" s="11"/>
      <c r="B59" s="12"/>
      <c r="C59" s="13"/>
      <c r="D59" s="14"/>
      <c r="E59" s="15" t="str">
        <f aca="false">IF(A59="","",Setup!$B$3)</f>
        <v/>
      </c>
      <c r="F59" s="12"/>
      <c r="G59" s="16" t="str">
        <f aca="false">IF(OR($B59="",$C59="",$F59=""),"",IF($F59=$B59,"Push",IF(OR(AND($C59="Up",$F59&gt;$B59),AND($C59="Down",$F59&lt;$B59)),"Win","Loss")))</f>
        <v/>
      </c>
      <c r="H59" s="17" t="str">
        <f aca="false">IF(G59="","",SUMIFS($E$2:E59,$G$2:G59,"Win")*Setup!$B$2-SUMIFS($E$2:E59,$G$2:G59,"Loss"))</f>
        <v/>
      </c>
    </row>
    <row r="60" customFormat="false" ht="15" hidden="false" customHeight="false" outlineLevel="0" collapsed="false">
      <c r="A60" s="11"/>
      <c r="B60" s="12"/>
      <c r="C60" s="13"/>
      <c r="D60" s="14"/>
      <c r="E60" s="15" t="str">
        <f aca="false">IF(A60="","",Setup!$B$3)</f>
        <v/>
      </c>
      <c r="F60" s="12"/>
      <c r="G60" s="16" t="str">
        <f aca="false">IF(OR($B60="",$C60="",$F60=""),"",IF($F60=$B60,"Push",IF(OR(AND($C60="Up",$F60&gt;$B60),AND($C60="Down",$F60&lt;$B60)),"Win","Loss")))</f>
        <v/>
      </c>
      <c r="H60" s="17" t="str">
        <f aca="false">IF(G60="","",SUMIFS($E$2:E60,$G$2:G60,"Win")*Setup!$B$2-SUMIFS($E$2:E60,$G$2:G60,"Loss"))</f>
        <v/>
      </c>
    </row>
    <row r="61" customFormat="false" ht="15" hidden="false" customHeight="false" outlineLevel="0" collapsed="false">
      <c r="A61" s="11"/>
      <c r="B61" s="12"/>
      <c r="C61" s="13"/>
      <c r="D61" s="14"/>
      <c r="E61" s="15" t="str">
        <f aca="false">IF(A61="","",Setup!$B$3)</f>
        <v/>
      </c>
      <c r="F61" s="12"/>
      <c r="G61" s="16" t="str">
        <f aca="false">IF(OR($B61="",$C61="",$F61=""),"",IF($F61=$B61,"Push",IF(OR(AND($C61="Up",$F61&gt;$B61),AND($C61="Down",$F61&lt;$B61)),"Win","Loss")))</f>
        <v/>
      </c>
      <c r="H61" s="17" t="str">
        <f aca="false">IF(G61="","",SUMIFS($E$2:E61,$G$2:G61,"Win")*Setup!$B$2-SUMIFS($E$2:E61,$G$2:G61,"Loss"))</f>
        <v/>
      </c>
    </row>
    <row r="62" customFormat="false" ht="15" hidden="false" customHeight="false" outlineLevel="0" collapsed="false">
      <c r="A62" s="11"/>
      <c r="B62" s="12"/>
      <c r="C62" s="13"/>
      <c r="D62" s="14"/>
      <c r="E62" s="15" t="str">
        <f aca="false">IF(A62="","",Setup!$B$3)</f>
        <v/>
      </c>
      <c r="F62" s="12"/>
      <c r="G62" s="16" t="str">
        <f aca="false">IF(OR($B62="",$C62="",$F62=""),"",IF($F62=$B62,"Push",IF(OR(AND($C62="Up",$F62&gt;$B62),AND($C62="Down",$F62&lt;$B62)),"Win","Loss")))</f>
        <v/>
      </c>
      <c r="H62" s="17" t="str">
        <f aca="false">IF(G62="","",SUMIFS($E$2:E62,$G$2:G62,"Win")*Setup!$B$2-SUMIFS($E$2:E62,$G$2:G62,"Loss"))</f>
        <v/>
      </c>
    </row>
    <row r="63" customFormat="false" ht="15" hidden="false" customHeight="false" outlineLevel="0" collapsed="false">
      <c r="A63" s="11"/>
      <c r="B63" s="12"/>
      <c r="C63" s="13"/>
      <c r="D63" s="14"/>
      <c r="E63" s="15" t="str">
        <f aca="false">IF(A63="","",Setup!$B$3)</f>
        <v/>
      </c>
      <c r="F63" s="12"/>
      <c r="G63" s="16" t="str">
        <f aca="false">IF(OR($B63="",$C63="",$F63=""),"",IF($F63=$B63,"Push",IF(OR(AND($C63="Up",$F63&gt;$B63),AND($C63="Down",$F63&lt;$B63)),"Win","Loss")))</f>
        <v/>
      </c>
      <c r="H63" s="17" t="str">
        <f aca="false">IF(G63="","",SUMIFS($E$2:E63,$G$2:G63,"Win")*Setup!$B$2-SUMIFS($E$2:E63,$G$2:G63,"Loss"))</f>
        <v/>
      </c>
    </row>
    <row r="64" customFormat="false" ht="15" hidden="false" customHeight="false" outlineLevel="0" collapsed="false">
      <c r="A64" s="11"/>
      <c r="B64" s="12"/>
      <c r="C64" s="13"/>
      <c r="D64" s="14"/>
      <c r="E64" s="15" t="str">
        <f aca="false">IF(A64="","",Setup!$B$3)</f>
        <v/>
      </c>
      <c r="F64" s="12"/>
      <c r="G64" s="16" t="str">
        <f aca="false">IF(OR($B64="",$C64="",$F64=""),"",IF($F64=$B64,"Push",IF(OR(AND($C64="Up",$F64&gt;$B64),AND($C64="Down",$F64&lt;$B64)),"Win","Loss")))</f>
        <v/>
      </c>
      <c r="H64" s="17" t="str">
        <f aca="false">IF(G64="","",SUMIFS($E$2:E64,$G$2:G64,"Win")*Setup!$B$2-SUMIFS($E$2:E64,$G$2:G64,"Loss"))</f>
        <v/>
      </c>
    </row>
    <row r="65" customFormat="false" ht="15" hidden="false" customHeight="false" outlineLevel="0" collapsed="false">
      <c r="A65" s="11"/>
      <c r="B65" s="12"/>
      <c r="C65" s="13"/>
      <c r="D65" s="14"/>
      <c r="E65" s="15" t="str">
        <f aca="false">IF(A65="","",Setup!$B$3)</f>
        <v/>
      </c>
      <c r="F65" s="12"/>
      <c r="G65" s="16" t="str">
        <f aca="false">IF(OR($B65="",$C65="",$F65=""),"",IF($F65=$B65,"Push",IF(OR(AND($C65="Up",$F65&gt;$B65),AND($C65="Down",$F65&lt;$B65)),"Win","Loss")))</f>
        <v/>
      </c>
      <c r="H65" s="17" t="str">
        <f aca="false">IF(G65="","",SUMIFS($E$2:E65,$G$2:G65,"Win")*Setup!$B$2-SUMIFS($E$2:E65,$G$2:G65,"Loss"))</f>
        <v/>
      </c>
    </row>
    <row r="66" customFormat="false" ht="15" hidden="false" customHeight="false" outlineLevel="0" collapsed="false">
      <c r="A66" s="11"/>
      <c r="B66" s="12"/>
      <c r="C66" s="13"/>
      <c r="D66" s="14"/>
      <c r="E66" s="15" t="str">
        <f aca="false">IF(A66="","",Setup!$B$3)</f>
        <v/>
      </c>
      <c r="F66" s="12"/>
      <c r="G66" s="16" t="str">
        <f aca="false">IF(OR($B66="",$C66="",$F66=""),"",IF($F66=$B66,"Push",IF(OR(AND($C66="Up",$F66&gt;$B66),AND($C66="Down",$F66&lt;$B66)),"Win","Loss")))</f>
        <v/>
      </c>
      <c r="H66" s="17" t="str">
        <f aca="false">IF(G66="","",SUMIFS($E$2:E66,$G$2:G66,"Win")*Setup!$B$2-SUMIFS($E$2:E66,$G$2:G66,"Loss"))</f>
        <v/>
      </c>
    </row>
    <row r="67" customFormat="false" ht="15" hidden="false" customHeight="false" outlineLevel="0" collapsed="false">
      <c r="A67" s="11"/>
      <c r="B67" s="12"/>
      <c r="C67" s="13"/>
      <c r="D67" s="14"/>
      <c r="E67" s="15" t="str">
        <f aca="false">IF(A67="","",Setup!$B$3)</f>
        <v/>
      </c>
      <c r="F67" s="12"/>
      <c r="G67" s="16" t="str">
        <f aca="false">IF(OR($B67="",$C67="",$F67=""),"",IF($F67=$B67,"Push",IF(OR(AND($C67="Up",$F67&gt;$B67),AND($C67="Down",$F67&lt;$B67)),"Win","Loss")))</f>
        <v/>
      </c>
      <c r="H67" s="17" t="str">
        <f aca="false">IF(G67="","",SUMIFS($E$2:E67,$G$2:G67,"Win")*Setup!$B$2-SUMIFS($E$2:E67,$G$2:G67,"Loss"))</f>
        <v/>
      </c>
    </row>
    <row r="68" customFormat="false" ht="15" hidden="false" customHeight="false" outlineLevel="0" collapsed="false">
      <c r="A68" s="11"/>
      <c r="B68" s="12"/>
      <c r="C68" s="13"/>
      <c r="D68" s="14"/>
      <c r="E68" s="15" t="str">
        <f aca="false">IF(A68="","",Setup!$B$3)</f>
        <v/>
      </c>
      <c r="F68" s="12"/>
      <c r="G68" s="16" t="str">
        <f aca="false">IF(OR($B68="",$C68="",$F68=""),"",IF($F68=$B68,"Push",IF(OR(AND($C68="Up",$F68&gt;$B68),AND($C68="Down",$F68&lt;$B68)),"Win","Loss")))</f>
        <v/>
      </c>
      <c r="H68" s="17" t="str">
        <f aca="false">IF(G68="","",SUMIFS($E$2:E68,$G$2:G68,"Win")*Setup!$B$2-SUMIFS($E$2:E68,$G$2:G68,"Loss"))</f>
        <v/>
      </c>
    </row>
    <row r="69" customFormat="false" ht="15" hidden="false" customHeight="false" outlineLevel="0" collapsed="false">
      <c r="A69" s="11"/>
      <c r="B69" s="12"/>
      <c r="C69" s="13"/>
      <c r="D69" s="14"/>
      <c r="E69" s="15" t="str">
        <f aca="false">IF(A69="","",Setup!$B$3)</f>
        <v/>
      </c>
      <c r="F69" s="12"/>
      <c r="G69" s="16" t="str">
        <f aca="false">IF(OR($B69="",$C69="",$F69=""),"",IF($F69=$B69,"Push",IF(OR(AND($C69="Up",$F69&gt;$B69),AND($C69="Down",$F69&lt;$B69)),"Win","Loss")))</f>
        <v/>
      </c>
      <c r="H69" s="17" t="str">
        <f aca="false">IF(G69="","",SUMIFS($E$2:E69,$G$2:G69,"Win")*Setup!$B$2-SUMIFS($E$2:E69,$G$2:G69,"Loss"))</f>
        <v/>
      </c>
    </row>
    <row r="70" customFormat="false" ht="15" hidden="false" customHeight="false" outlineLevel="0" collapsed="false">
      <c r="A70" s="11"/>
      <c r="B70" s="12"/>
      <c r="C70" s="13"/>
      <c r="D70" s="14"/>
      <c r="E70" s="15" t="str">
        <f aca="false">IF(A70="","",Setup!$B$3)</f>
        <v/>
      </c>
      <c r="F70" s="12"/>
      <c r="G70" s="16" t="str">
        <f aca="false">IF(OR($B70="",$C70="",$F70=""),"",IF($F70=$B70,"Push",IF(OR(AND($C70="Up",$F70&gt;$B70),AND($C70="Down",$F70&lt;$B70)),"Win","Loss")))</f>
        <v/>
      </c>
      <c r="H70" s="17" t="str">
        <f aca="false">IF(G70="","",SUMIFS($E$2:E70,$G$2:G70,"Win")*Setup!$B$2-SUMIFS($E$2:E70,$G$2:G70,"Loss"))</f>
        <v/>
      </c>
    </row>
    <row r="71" customFormat="false" ht="15" hidden="false" customHeight="false" outlineLevel="0" collapsed="false">
      <c r="A71" s="11"/>
      <c r="B71" s="12"/>
      <c r="C71" s="13"/>
      <c r="D71" s="14"/>
      <c r="E71" s="15" t="str">
        <f aca="false">IF(A71="","",Setup!$B$3)</f>
        <v/>
      </c>
      <c r="F71" s="12"/>
      <c r="G71" s="16" t="str">
        <f aca="false">IF(OR($B71="",$C71="",$F71=""),"",IF($F71=$B71,"Push",IF(OR(AND($C71="Up",$F71&gt;$B71),AND($C71="Down",$F71&lt;$B71)),"Win","Loss")))</f>
        <v/>
      </c>
      <c r="H71" s="17" t="str">
        <f aca="false">IF(G71="","",SUMIFS($E$2:E71,$G$2:G71,"Win")*Setup!$B$2-SUMIFS($E$2:E71,$G$2:G71,"Loss"))</f>
        <v/>
      </c>
    </row>
    <row r="72" customFormat="false" ht="15" hidden="false" customHeight="false" outlineLevel="0" collapsed="false">
      <c r="A72" s="11"/>
      <c r="B72" s="12"/>
      <c r="C72" s="13"/>
      <c r="D72" s="14"/>
      <c r="E72" s="15" t="str">
        <f aca="false">IF(A72="","",Setup!$B$3)</f>
        <v/>
      </c>
      <c r="F72" s="12"/>
      <c r="G72" s="16" t="str">
        <f aca="false">IF(OR($B72="",$C72="",$F72=""),"",IF($F72=$B72,"Push",IF(OR(AND($C72="Up",$F72&gt;$B72),AND($C72="Down",$F72&lt;$B72)),"Win","Loss")))</f>
        <v/>
      </c>
      <c r="H72" s="17" t="str">
        <f aca="false">IF(G72="","",SUMIFS($E$2:E72,$G$2:G72,"Win")*Setup!$B$2-SUMIFS($E$2:E72,$G$2:G72,"Loss"))</f>
        <v/>
      </c>
    </row>
    <row r="73" customFormat="false" ht="15" hidden="false" customHeight="false" outlineLevel="0" collapsed="false">
      <c r="A73" s="11"/>
      <c r="B73" s="12"/>
      <c r="C73" s="13"/>
      <c r="D73" s="14"/>
      <c r="E73" s="15" t="str">
        <f aca="false">IF(A73="","",Setup!$B$3)</f>
        <v/>
      </c>
      <c r="F73" s="12"/>
      <c r="G73" s="16" t="str">
        <f aca="false">IF(OR($B73="",$C73="",$F73=""),"",IF($F73=$B73,"Push",IF(OR(AND($C73="Up",$F73&gt;$B73),AND($C73="Down",$F73&lt;$B73)),"Win","Loss")))</f>
        <v/>
      </c>
      <c r="H73" s="17" t="str">
        <f aca="false">IF(G73="","",SUMIFS($E$2:E73,$G$2:G73,"Win")*Setup!$B$2-SUMIFS($E$2:E73,$G$2:G73,"Loss"))</f>
        <v/>
      </c>
    </row>
    <row r="74" customFormat="false" ht="15" hidden="false" customHeight="false" outlineLevel="0" collapsed="false">
      <c r="A74" s="11"/>
      <c r="B74" s="12"/>
      <c r="C74" s="13"/>
      <c r="D74" s="14"/>
      <c r="E74" s="15" t="str">
        <f aca="false">IF(A74="","",Setup!$B$3)</f>
        <v/>
      </c>
      <c r="F74" s="12"/>
      <c r="G74" s="16" t="str">
        <f aca="false">IF(OR($B74="",$C74="",$F74=""),"",IF($F74=$B74,"Push",IF(OR(AND($C74="Up",$F74&gt;$B74),AND($C74="Down",$F74&lt;$B74)),"Win","Loss")))</f>
        <v/>
      </c>
      <c r="H74" s="17" t="str">
        <f aca="false">IF(G74="","",SUMIFS($E$2:E74,$G$2:G74,"Win")*Setup!$B$2-SUMIFS($E$2:E74,$G$2:G74,"Loss"))</f>
        <v/>
      </c>
    </row>
    <row r="75" customFormat="false" ht="15" hidden="false" customHeight="false" outlineLevel="0" collapsed="false">
      <c r="A75" s="11"/>
      <c r="B75" s="12"/>
      <c r="C75" s="13"/>
      <c r="D75" s="14"/>
      <c r="E75" s="15" t="str">
        <f aca="false">IF(A75="","",Setup!$B$3)</f>
        <v/>
      </c>
      <c r="F75" s="12"/>
      <c r="G75" s="16" t="str">
        <f aca="false">IF(OR($B75="",$C75="",$F75=""),"",IF($F75=$B75,"Push",IF(OR(AND($C75="Up",$F75&gt;$B75),AND($C75="Down",$F75&lt;$B75)),"Win","Loss")))</f>
        <v/>
      </c>
      <c r="H75" s="17" t="str">
        <f aca="false">IF(G75="","",SUMIFS($E$2:E75,$G$2:G75,"Win")*Setup!$B$2-SUMIFS($E$2:E75,$G$2:G75,"Loss"))</f>
        <v/>
      </c>
    </row>
    <row r="76" customFormat="false" ht="15" hidden="false" customHeight="false" outlineLevel="0" collapsed="false">
      <c r="A76" s="11"/>
      <c r="B76" s="12"/>
      <c r="C76" s="13"/>
      <c r="D76" s="14"/>
      <c r="E76" s="15" t="str">
        <f aca="false">IF(A76="","",Setup!$B$3)</f>
        <v/>
      </c>
      <c r="F76" s="12"/>
      <c r="G76" s="16" t="str">
        <f aca="false">IF(OR($B76="",$C76="",$F76=""),"",IF($F76=$B76,"Push",IF(OR(AND($C76="Up",$F76&gt;$B76),AND($C76="Down",$F76&lt;$B76)),"Win","Loss")))</f>
        <v/>
      </c>
      <c r="H76" s="17" t="str">
        <f aca="false">IF(G76="","",SUMIFS($E$2:E76,$G$2:G76,"Win")*Setup!$B$2-SUMIFS($E$2:E76,$G$2:G76,"Loss"))</f>
        <v/>
      </c>
    </row>
    <row r="77" customFormat="false" ht="15" hidden="false" customHeight="false" outlineLevel="0" collapsed="false">
      <c r="A77" s="11"/>
      <c r="B77" s="12"/>
      <c r="C77" s="13"/>
      <c r="D77" s="14"/>
      <c r="E77" s="15" t="str">
        <f aca="false">IF(A77="","",Setup!$B$3)</f>
        <v/>
      </c>
      <c r="F77" s="12"/>
      <c r="G77" s="16" t="str">
        <f aca="false">IF(OR($B77="",$C77="",$F77=""),"",IF($F77=$B77,"Push",IF(OR(AND($C77="Up",$F77&gt;$B77),AND($C77="Down",$F77&lt;$B77)),"Win","Loss")))</f>
        <v/>
      </c>
      <c r="H77" s="17" t="str">
        <f aca="false">IF(G77="","",SUMIFS($E$2:E77,$G$2:G77,"Win")*Setup!$B$2-SUMIFS($E$2:E77,$G$2:G77,"Loss"))</f>
        <v/>
      </c>
    </row>
    <row r="78" customFormat="false" ht="15" hidden="false" customHeight="false" outlineLevel="0" collapsed="false">
      <c r="A78" s="11"/>
      <c r="B78" s="12"/>
      <c r="C78" s="13"/>
      <c r="D78" s="14"/>
      <c r="E78" s="15" t="str">
        <f aca="false">IF(A78="","",Setup!$B$3)</f>
        <v/>
      </c>
      <c r="F78" s="12"/>
      <c r="G78" s="16" t="str">
        <f aca="false">IF(OR($B78="",$C78="",$F78=""),"",IF($F78=$B78,"Push",IF(OR(AND($C78="Up",$F78&gt;$B78),AND($C78="Down",$F78&lt;$B78)),"Win","Loss")))</f>
        <v/>
      </c>
      <c r="H78" s="17" t="str">
        <f aca="false">IF(G78="","",SUMIFS($E$2:E78,$G$2:G78,"Win")*Setup!$B$2-SUMIFS($E$2:E78,$G$2:G78,"Loss"))</f>
        <v/>
      </c>
    </row>
    <row r="79" customFormat="false" ht="15" hidden="false" customHeight="false" outlineLevel="0" collapsed="false">
      <c r="A79" s="11"/>
      <c r="B79" s="12"/>
      <c r="C79" s="13"/>
      <c r="D79" s="14"/>
      <c r="E79" s="15" t="str">
        <f aca="false">IF(A79="","",Setup!$B$3)</f>
        <v/>
      </c>
      <c r="F79" s="12"/>
      <c r="G79" s="16" t="str">
        <f aca="false">IF(OR($B79="",$C79="",$F79=""),"",IF($F79=$B79,"Push",IF(OR(AND($C79="Up",$F79&gt;$B79),AND($C79="Down",$F79&lt;$B79)),"Win","Loss")))</f>
        <v/>
      </c>
      <c r="H79" s="17" t="str">
        <f aca="false">IF(G79="","",SUMIFS($E$2:E79,$G$2:G79,"Win")*Setup!$B$2-SUMIFS($E$2:E79,$G$2:G79,"Loss"))</f>
        <v/>
      </c>
    </row>
    <row r="80" customFormat="false" ht="15" hidden="false" customHeight="false" outlineLevel="0" collapsed="false">
      <c r="A80" s="11"/>
      <c r="B80" s="12"/>
      <c r="C80" s="13"/>
      <c r="D80" s="14"/>
      <c r="E80" s="15" t="str">
        <f aca="false">IF(A80="","",Setup!$B$3)</f>
        <v/>
      </c>
      <c r="F80" s="12"/>
      <c r="G80" s="16" t="str">
        <f aca="false">IF(OR($B80="",$C80="",$F80=""),"",IF($F80=$B80,"Push",IF(OR(AND($C80="Up",$F80&gt;$B80),AND($C80="Down",$F80&lt;$B80)),"Win","Loss")))</f>
        <v/>
      </c>
      <c r="H80" s="17" t="str">
        <f aca="false">IF(G80="","",SUMIFS($E$2:E80,$G$2:G80,"Win")*Setup!$B$2-SUMIFS($E$2:E80,$G$2:G80,"Loss"))</f>
        <v/>
      </c>
    </row>
    <row r="81" customFormat="false" ht="15" hidden="false" customHeight="false" outlineLevel="0" collapsed="false">
      <c r="A81" s="11"/>
      <c r="B81" s="12"/>
      <c r="C81" s="13"/>
      <c r="D81" s="14"/>
      <c r="E81" s="15" t="str">
        <f aca="false">IF(A81="","",Setup!$B$3)</f>
        <v/>
      </c>
      <c r="F81" s="12"/>
      <c r="G81" s="16" t="str">
        <f aca="false">IF(OR($B81="",$C81="",$F81=""),"",IF($F81=$B81,"Push",IF(OR(AND($C81="Up",$F81&gt;$B81),AND($C81="Down",$F81&lt;$B81)),"Win","Loss")))</f>
        <v/>
      </c>
      <c r="H81" s="17" t="str">
        <f aca="false">IF(G81="","",SUMIFS($E$2:E81,$G$2:G81,"Win")*Setup!$B$2-SUMIFS($E$2:E81,$G$2:G81,"Loss"))</f>
        <v/>
      </c>
    </row>
    <row r="82" customFormat="false" ht="15" hidden="false" customHeight="false" outlineLevel="0" collapsed="false">
      <c r="A82" s="11"/>
      <c r="B82" s="12"/>
      <c r="C82" s="13"/>
      <c r="D82" s="14"/>
      <c r="E82" s="15" t="str">
        <f aca="false">IF(A82="","",Setup!$B$3)</f>
        <v/>
      </c>
      <c r="F82" s="12"/>
      <c r="G82" s="16" t="str">
        <f aca="false">IF(OR($B82="",$C82="",$F82=""),"",IF($F82=$B82,"Push",IF(OR(AND($C82="Up",$F82&gt;$B82),AND($C82="Down",$F82&lt;$B82)),"Win","Loss")))</f>
        <v/>
      </c>
      <c r="H82" s="17" t="str">
        <f aca="false">IF(G82="","",SUMIFS($E$2:E82,$G$2:G82,"Win")*Setup!$B$2-SUMIFS($E$2:E82,$G$2:G82,"Loss"))</f>
        <v/>
      </c>
    </row>
    <row r="83" customFormat="false" ht="15" hidden="false" customHeight="false" outlineLevel="0" collapsed="false">
      <c r="A83" s="11"/>
      <c r="B83" s="12"/>
      <c r="C83" s="13"/>
      <c r="D83" s="14"/>
      <c r="E83" s="15" t="str">
        <f aca="false">IF(A83="","",Setup!$B$3)</f>
        <v/>
      </c>
      <c r="F83" s="12"/>
      <c r="G83" s="16" t="str">
        <f aca="false">IF(OR($B83="",$C83="",$F83=""),"",IF($F83=$B83,"Push",IF(OR(AND($C83="Up",$F83&gt;$B83),AND($C83="Down",$F83&lt;$B83)),"Win","Loss")))</f>
        <v/>
      </c>
      <c r="H83" s="17" t="str">
        <f aca="false">IF(G83="","",SUMIFS($E$2:E83,$G$2:G83,"Win")*Setup!$B$2-SUMIFS($E$2:E83,$G$2:G83,"Loss"))</f>
        <v/>
      </c>
    </row>
    <row r="84" customFormat="false" ht="15" hidden="false" customHeight="false" outlineLevel="0" collapsed="false">
      <c r="A84" s="11"/>
      <c r="B84" s="12"/>
      <c r="C84" s="13"/>
      <c r="D84" s="14"/>
      <c r="E84" s="15" t="str">
        <f aca="false">IF(A84="","",Setup!$B$3)</f>
        <v/>
      </c>
      <c r="F84" s="12"/>
      <c r="G84" s="16" t="str">
        <f aca="false">IF(OR($B84="",$C84="",$F84=""),"",IF($F84=$B84,"Push",IF(OR(AND($C84="Up",$F84&gt;$B84),AND($C84="Down",$F84&lt;$B84)),"Win","Loss")))</f>
        <v/>
      </c>
      <c r="H84" s="17" t="str">
        <f aca="false">IF(G84="","",SUMIFS($E$2:E84,$G$2:G84,"Win")*Setup!$B$2-SUMIFS($E$2:E84,$G$2:G84,"Loss"))</f>
        <v/>
      </c>
    </row>
    <row r="85" customFormat="false" ht="15" hidden="false" customHeight="false" outlineLevel="0" collapsed="false">
      <c r="A85" s="11"/>
      <c r="B85" s="12"/>
      <c r="C85" s="13"/>
      <c r="D85" s="14"/>
      <c r="E85" s="15" t="str">
        <f aca="false">IF(A85="","",Setup!$B$3)</f>
        <v/>
      </c>
      <c r="F85" s="12"/>
      <c r="G85" s="16" t="str">
        <f aca="false">IF(OR($B85="",$C85="",$F85=""),"",IF($F85=$B85,"Push",IF(OR(AND($C85="Up",$F85&gt;$B85),AND($C85="Down",$F85&lt;$B85)),"Win","Loss")))</f>
        <v/>
      </c>
      <c r="H85" s="17" t="str">
        <f aca="false">IF(G85="","",SUMIFS($E$2:E85,$G$2:G85,"Win")*Setup!$B$2-SUMIFS($E$2:E85,$G$2:G85,"Loss"))</f>
        <v/>
      </c>
    </row>
    <row r="86" customFormat="false" ht="15" hidden="false" customHeight="false" outlineLevel="0" collapsed="false">
      <c r="A86" s="11"/>
      <c r="B86" s="12"/>
      <c r="C86" s="13"/>
      <c r="D86" s="14"/>
      <c r="E86" s="15" t="str">
        <f aca="false">IF(A86="","",Setup!$B$3)</f>
        <v/>
      </c>
      <c r="F86" s="12"/>
      <c r="G86" s="16" t="str">
        <f aca="false">IF(OR($B86="",$C86="",$F86=""),"",IF($F86=$B86,"Push",IF(OR(AND($C86="Up",$F86&gt;$B86),AND($C86="Down",$F86&lt;$B86)),"Win","Loss")))</f>
        <v/>
      </c>
      <c r="H86" s="17" t="str">
        <f aca="false">IF(G86="","",SUMIFS($E$2:E86,$G$2:G86,"Win")*Setup!$B$2-SUMIFS($E$2:E86,$G$2:G86,"Loss"))</f>
        <v/>
      </c>
    </row>
    <row r="87" customFormat="false" ht="15" hidden="false" customHeight="false" outlineLevel="0" collapsed="false">
      <c r="A87" s="11"/>
      <c r="B87" s="12"/>
      <c r="C87" s="13"/>
      <c r="D87" s="14"/>
      <c r="E87" s="15" t="str">
        <f aca="false">IF(A87="","",Setup!$B$3)</f>
        <v/>
      </c>
      <c r="F87" s="12"/>
      <c r="G87" s="16" t="str">
        <f aca="false">IF(OR($B87="",$C87="",$F87=""),"",IF($F87=$B87,"Push",IF(OR(AND($C87="Up",$F87&gt;$B87),AND($C87="Down",$F87&lt;$B87)),"Win","Loss")))</f>
        <v/>
      </c>
      <c r="H87" s="17" t="str">
        <f aca="false">IF(G87="","",SUMIFS($E$2:E87,$G$2:G87,"Win")*Setup!$B$2-SUMIFS($E$2:E87,$G$2:G87,"Loss"))</f>
        <v/>
      </c>
    </row>
    <row r="88" customFormat="false" ht="15" hidden="false" customHeight="false" outlineLevel="0" collapsed="false">
      <c r="A88" s="11"/>
      <c r="B88" s="12"/>
      <c r="C88" s="13"/>
      <c r="D88" s="14"/>
      <c r="E88" s="15" t="str">
        <f aca="false">IF(A88="","",Setup!$B$3)</f>
        <v/>
      </c>
      <c r="F88" s="12"/>
      <c r="G88" s="16" t="str">
        <f aca="false">IF(OR($B88="",$C88="",$F88=""),"",IF($F88=$B88,"Push",IF(OR(AND($C88="Up",$F88&gt;$B88),AND($C88="Down",$F88&lt;$B88)),"Win","Loss")))</f>
        <v/>
      </c>
      <c r="H88" s="17" t="str">
        <f aca="false">IF(G88="","",SUMIFS($E$2:E88,$G$2:G88,"Win")*Setup!$B$2-SUMIFS($E$2:E88,$G$2:G88,"Loss"))</f>
        <v/>
      </c>
    </row>
    <row r="89" customFormat="false" ht="15" hidden="false" customHeight="false" outlineLevel="0" collapsed="false">
      <c r="A89" s="11"/>
      <c r="B89" s="12"/>
      <c r="C89" s="13"/>
      <c r="D89" s="14"/>
      <c r="E89" s="15" t="str">
        <f aca="false">IF(A89="","",Setup!$B$3)</f>
        <v/>
      </c>
      <c r="F89" s="12"/>
      <c r="G89" s="16" t="str">
        <f aca="false">IF(OR($B89="",$C89="",$F89=""),"",IF($F89=$B89,"Push",IF(OR(AND($C89="Up",$F89&gt;$B89),AND($C89="Down",$F89&lt;$B89)),"Win","Loss")))</f>
        <v/>
      </c>
      <c r="H89" s="17" t="str">
        <f aca="false">IF(G89="","",SUMIFS($E$2:E89,$G$2:G89,"Win")*Setup!$B$2-SUMIFS($E$2:E89,$G$2:G89,"Loss"))</f>
        <v/>
      </c>
    </row>
    <row r="90" customFormat="false" ht="15" hidden="false" customHeight="false" outlineLevel="0" collapsed="false">
      <c r="A90" s="11"/>
      <c r="B90" s="12"/>
      <c r="C90" s="13"/>
      <c r="D90" s="14"/>
      <c r="E90" s="15" t="str">
        <f aca="false">IF(A90="","",Setup!$B$3)</f>
        <v/>
      </c>
      <c r="F90" s="12"/>
      <c r="G90" s="16" t="str">
        <f aca="false">IF(OR($B90="",$C90="",$F90=""),"",IF($F90=$B90,"Push",IF(OR(AND($C90="Up",$F90&gt;$B90),AND($C90="Down",$F90&lt;$B90)),"Win","Loss")))</f>
        <v/>
      </c>
      <c r="H90" s="17" t="str">
        <f aca="false">IF(G90="","",SUMIFS($E$2:E90,$G$2:G90,"Win")*Setup!$B$2-SUMIFS($E$2:E90,$G$2:G90,"Loss"))</f>
        <v/>
      </c>
    </row>
    <row r="91" customFormat="false" ht="15" hidden="false" customHeight="false" outlineLevel="0" collapsed="false">
      <c r="A91" s="11"/>
      <c r="B91" s="12"/>
      <c r="C91" s="13"/>
      <c r="D91" s="14"/>
      <c r="E91" s="15" t="str">
        <f aca="false">IF(A91="","",Setup!$B$3)</f>
        <v/>
      </c>
      <c r="F91" s="12"/>
      <c r="G91" s="16" t="str">
        <f aca="false">IF(OR($B91="",$C91="",$F91=""),"",IF($F91=$B91,"Push",IF(OR(AND($C91="Up",$F91&gt;$B91),AND($C91="Down",$F91&lt;$B91)),"Win","Loss")))</f>
        <v/>
      </c>
      <c r="H91" s="17" t="str">
        <f aca="false">IF(G91="","",SUMIFS($E$2:E91,$G$2:G91,"Win")*Setup!$B$2-SUMIFS($E$2:E91,$G$2:G91,"Loss"))</f>
        <v/>
      </c>
    </row>
    <row r="92" customFormat="false" ht="15" hidden="false" customHeight="false" outlineLevel="0" collapsed="false">
      <c r="A92" s="11"/>
      <c r="B92" s="12"/>
      <c r="C92" s="13"/>
      <c r="D92" s="14"/>
      <c r="E92" s="15" t="str">
        <f aca="false">IF(A92="","",Setup!$B$3)</f>
        <v/>
      </c>
      <c r="F92" s="12"/>
      <c r="G92" s="16" t="str">
        <f aca="false">IF(OR($B92="",$C92="",$F92=""),"",IF($F92=$B92,"Push",IF(OR(AND($C92="Up",$F92&gt;$B92),AND($C92="Down",$F92&lt;$B92)),"Win","Loss")))</f>
        <v/>
      </c>
      <c r="H92" s="17" t="str">
        <f aca="false">IF(G92="","",SUMIFS($E$2:E92,$G$2:G92,"Win")*Setup!$B$2-SUMIFS($E$2:E92,$G$2:G92,"Loss"))</f>
        <v/>
      </c>
    </row>
    <row r="93" customFormat="false" ht="15" hidden="false" customHeight="false" outlineLevel="0" collapsed="false">
      <c r="A93" s="11"/>
      <c r="B93" s="12"/>
      <c r="C93" s="13"/>
      <c r="D93" s="14"/>
      <c r="E93" s="15" t="str">
        <f aca="false">IF(A93="","",Setup!$B$3)</f>
        <v/>
      </c>
      <c r="F93" s="12"/>
      <c r="G93" s="16" t="str">
        <f aca="false">IF(OR($B93="",$C93="",$F93=""),"",IF($F93=$B93,"Push",IF(OR(AND($C93="Up",$F93&gt;$B93),AND($C93="Down",$F93&lt;$B93)),"Win","Loss")))</f>
        <v/>
      </c>
      <c r="H93" s="17" t="str">
        <f aca="false">IF(G93="","",SUMIFS($E$2:E93,$G$2:G93,"Win")*Setup!$B$2-SUMIFS($E$2:E93,$G$2:G93,"Loss"))</f>
        <v/>
      </c>
    </row>
    <row r="94" customFormat="false" ht="15" hidden="false" customHeight="false" outlineLevel="0" collapsed="false">
      <c r="A94" s="11"/>
      <c r="B94" s="12"/>
      <c r="C94" s="13"/>
      <c r="D94" s="14"/>
      <c r="E94" s="15" t="str">
        <f aca="false">IF(A94="","",Setup!$B$3)</f>
        <v/>
      </c>
      <c r="F94" s="12"/>
      <c r="G94" s="16" t="str">
        <f aca="false">IF(OR($B94="",$C94="",$F94=""),"",IF($F94=$B94,"Push",IF(OR(AND($C94="Up",$F94&gt;$B94),AND($C94="Down",$F94&lt;$B94)),"Win","Loss")))</f>
        <v/>
      </c>
      <c r="H94" s="17" t="str">
        <f aca="false">IF(G94="","",SUMIFS($E$2:E94,$G$2:G94,"Win")*Setup!$B$2-SUMIFS($E$2:E94,$G$2:G94,"Loss"))</f>
        <v/>
      </c>
    </row>
    <row r="95" customFormat="false" ht="15" hidden="false" customHeight="false" outlineLevel="0" collapsed="false">
      <c r="A95" s="11"/>
      <c r="B95" s="12"/>
      <c r="C95" s="13"/>
      <c r="D95" s="14"/>
      <c r="E95" s="15" t="str">
        <f aca="false">IF(A95="","",Setup!$B$3)</f>
        <v/>
      </c>
      <c r="F95" s="12"/>
      <c r="G95" s="16" t="str">
        <f aca="false">IF(OR($B95="",$C95="",$F95=""),"",IF($F95=$B95,"Push",IF(OR(AND($C95="Up",$F95&gt;$B95),AND($C95="Down",$F95&lt;$B95)),"Win","Loss")))</f>
        <v/>
      </c>
      <c r="H95" s="17" t="str">
        <f aca="false">IF(G95="","",SUMIFS($E$2:E95,$G$2:G95,"Win")*Setup!$B$2-SUMIFS($E$2:E95,$G$2:G95,"Loss"))</f>
        <v/>
      </c>
    </row>
    <row r="96" customFormat="false" ht="15" hidden="false" customHeight="false" outlineLevel="0" collapsed="false">
      <c r="A96" s="11"/>
      <c r="B96" s="12"/>
      <c r="C96" s="13"/>
      <c r="D96" s="14"/>
      <c r="E96" s="15" t="str">
        <f aca="false">IF(A96="","",Setup!$B$3)</f>
        <v/>
      </c>
      <c r="F96" s="12"/>
      <c r="G96" s="16" t="str">
        <f aca="false">IF(OR($B96="",$C96="",$F96=""),"",IF($F96=$B96,"Push",IF(OR(AND($C96="Up",$F96&gt;$B96),AND($C96="Down",$F96&lt;$B96)),"Win","Loss")))</f>
        <v/>
      </c>
      <c r="H96" s="17" t="str">
        <f aca="false">IF(G96="","",SUMIFS($E$2:E96,$G$2:G96,"Win")*Setup!$B$2-SUMIFS($E$2:E96,$G$2:G96,"Loss"))</f>
        <v/>
      </c>
    </row>
    <row r="97" customFormat="false" ht="15" hidden="false" customHeight="false" outlineLevel="0" collapsed="false">
      <c r="A97" s="11"/>
      <c r="B97" s="12"/>
      <c r="C97" s="13"/>
      <c r="D97" s="14"/>
      <c r="E97" s="15" t="str">
        <f aca="false">IF(A97="","",Setup!$B$3)</f>
        <v/>
      </c>
      <c r="F97" s="12"/>
      <c r="G97" s="16" t="str">
        <f aca="false">IF(OR($B97="",$C97="",$F97=""),"",IF($F97=$B97,"Push",IF(OR(AND($C97="Up",$F97&gt;$B97),AND($C97="Down",$F97&lt;$B97)),"Win","Loss")))</f>
        <v/>
      </c>
      <c r="H97" s="17" t="str">
        <f aca="false">IF(G97="","",SUMIFS($E$2:E97,$G$2:G97,"Win")*Setup!$B$2-SUMIFS($E$2:E97,$G$2:G97,"Loss"))</f>
        <v/>
      </c>
    </row>
    <row r="98" customFormat="false" ht="15" hidden="false" customHeight="false" outlineLevel="0" collapsed="false">
      <c r="A98" s="11"/>
      <c r="B98" s="12"/>
      <c r="C98" s="13"/>
      <c r="D98" s="14"/>
      <c r="E98" s="15" t="str">
        <f aca="false">IF(A98="","",Setup!$B$3)</f>
        <v/>
      </c>
      <c r="F98" s="12"/>
      <c r="G98" s="16" t="str">
        <f aca="false">IF(OR($B98="",$C98="",$F98=""),"",IF($F98=$B98,"Push",IF(OR(AND($C98="Up",$F98&gt;$B98),AND($C98="Down",$F98&lt;$B98)),"Win","Loss")))</f>
        <v/>
      </c>
      <c r="H98" s="17" t="str">
        <f aca="false">IF(G98="","",SUMIFS($E$2:E98,$G$2:G98,"Win")*Setup!$B$2-SUMIFS($E$2:E98,$G$2:G98,"Loss"))</f>
        <v/>
      </c>
    </row>
    <row r="99" customFormat="false" ht="15" hidden="false" customHeight="false" outlineLevel="0" collapsed="false">
      <c r="A99" s="11"/>
      <c r="B99" s="12"/>
      <c r="C99" s="13"/>
      <c r="D99" s="14"/>
      <c r="E99" s="15" t="str">
        <f aca="false">IF(A99="","",Setup!$B$3)</f>
        <v/>
      </c>
      <c r="F99" s="12"/>
      <c r="G99" s="16" t="str">
        <f aca="false">IF(OR($B99="",$C99="",$F99=""),"",IF($F99=$B99,"Push",IF(OR(AND($C99="Up",$F99&gt;$B99),AND($C99="Down",$F99&lt;$B99)),"Win","Loss")))</f>
        <v/>
      </c>
      <c r="H99" s="17" t="str">
        <f aca="false">IF(G99="","",SUMIFS($E$2:E99,$G$2:G99,"Win")*Setup!$B$2-SUMIFS($E$2:E99,$G$2:G99,"Loss"))</f>
        <v/>
      </c>
    </row>
    <row r="100" customFormat="false" ht="15" hidden="false" customHeight="false" outlineLevel="0" collapsed="false">
      <c r="A100" s="11"/>
      <c r="B100" s="12"/>
      <c r="C100" s="13"/>
      <c r="D100" s="14"/>
      <c r="E100" s="15" t="str">
        <f aca="false">IF(A100="","",Setup!$B$3)</f>
        <v/>
      </c>
      <c r="F100" s="12"/>
      <c r="G100" s="16" t="str">
        <f aca="false">IF(OR($B100="",$C100="",$F100=""),"",IF($F100=$B100,"Push",IF(OR(AND($C100="Up",$F100&gt;$B100),AND($C100="Down",$F100&lt;$B100)),"Win","Loss")))</f>
        <v/>
      </c>
      <c r="H100" s="17" t="str">
        <f aca="false">IF(G100="","",SUMIFS($E$2:E100,$G$2:G100,"Win")*Setup!$B$2-SUMIFS($E$2:E100,$G$2:G100,"Loss"))</f>
        <v/>
      </c>
    </row>
    <row r="101" customFormat="false" ht="15" hidden="false" customHeight="false" outlineLevel="0" collapsed="false">
      <c r="A101" s="11"/>
      <c r="B101" s="12"/>
      <c r="C101" s="13"/>
      <c r="D101" s="14"/>
      <c r="E101" s="15" t="str">
        <f aca="false">IF(A101="","",Setup!$B$3)</f>
        <v/>
      </c>
      <c r="F101" s="12"/>
      <c r="G101" s="16" t="str">
        <f aca="false">IF(OR($B101="",$C101="",$F101=""),"",IF($F101=$B101,"Push",IF(OR(AND($C101="Up",$F101&gt;$B101),AND($C101="Down",$F101&lt;$B101)),"Win","Loss")))</f>
        <v/>
      </c>
      <c r="H101" s="17" t="str">
        <f aca="false">IF(G101="","",SUMIFS($E$2:E101,$G$2:G101,"Win")*Setup!$B$2-SUMIFS($E$2:E101,$G$2:G101,"Loss"))</f>
        <v/>
      </c>
    </row>
    <row r="102" customFormat="false" ht="15" hidden="false" customHeight="false" outlineLevel="0" collapsed="false">
      <c r="A102" s="11"/>
      <c r="B102" s="12"/>
      <c r="C102" s="13"/>
      <c r="D102" s="14"/>
      <c r="E102" s="15" t="str">
        <f aca="false">IF(A102="","",Setup!$B$3)</f>
        <v/>
      </c>
      <c r="F102" s="12"/>
      <c r="G102" s="16" t="str">
        <f aca="false">IF(OR($B102="",$C102="",$F102=""),"",IF($F102=$B102,"Push",IF(OR(AND($C102="Up",$F102&gt;$B102),AND($C102="Down",$F102&lt;$B102)),"Win","Loss")))</f>
        <v/>
      </c>
      <c r="H102" s="17" t="str">
        <f aca="false">IF(G102="","",SUMIFS($E$2:E102,$G$2:G102,"Win")*Setup!$B$2-SUMIFS($E$2:E102,$G$2:G102,"Loss"))</f>
        <v/>
      </c>
    </row>
    <row r="103" customFormat="false" ht="15" hidden="false" customHeight="false" outlineLevel="0" collapsed="false">
      <c r="A103" s="11"/>
      <c r="B103" s="12"/>
      <c r="C103" s="13"/>
      <c r="D103" s="14"/>
      <c r="E103" s="15" t="str">
        <f aca="false">IF(A103="","",Setup!$B$3)</f>
        <v/>
      </c>
      <c r="F103" s="12"/>
      <c r="G103" s="16" t="str">
        <f aca="false">IF(OR($B103="",$C103="",$F103=""),"",IF($F103=$B103,"Push",IF(OR(AND($C103="Up",$F103&gt;$B103),AND($C103="Down",$F103&lt;$B103)),"Win","Loss")))</f>
        <v/>
      </c>
      <c r="H103" s="17" t="str">
        <f aca="false">IF(G103="","",SUMIFS($E$2:E103,$G$2:G103,"Win")*Setup!$B$2-SUMIFS($E$2:E103,$G$2:G103,"Loss"))</f>
        <v/>
      </c>
    </row>
    <row r="104" customFormat="false" ht="15" hidden="false" customHeight="false" outlineLevel="0" collapsed="false">
      <c r="A104" s="11"/>
      <c r="B104" s="12"/>
      <c r="C104" s="13"/>
      <c r="D104" s="14"/>
      <c r="E104" s="15" t="str">
        <f aca="false">IF(A104="","",Setup!$B$3)</f>
        <v/>
      </c>
      <c r="F104" s="12"/>
      <c r="G104" s="16" t="str">
        <f aca="false">IF(OR($B104="",$C104="",$F104=""),"",IF($F104=$B104,"Push",IF(OR(AND($C104="Up",$F104&gt;$B104),AND($C104="Down",$F104&lt;$B104)),"Win","Loss")))</f>
        <v/>
      </c>
      <c r="H104" s="17" t="str">
        <f aca="false">IF(G104="","",SUMIFS($E$2:E104,$G$2:G104,"Win")*Setup!$B$2-SUMIFS($E$2:E104,$G$2:G104,"Loss"))</f>
        <v/>
      </c>
    </row>
    <row r="105" customFormat="false" ht="15" hidden="false" customHeight="false" outlineLevel="0" collapsed="false">
      <c r="A105" s="11"/>
      <c r="B105" s="12"/>
      <c r="C105" s="13"/>
      <c r="D105" s="14"/>
      <c r="E105" s="15" t="str">
        <f aca="false">IF(A105="","",Setup!$B$3)</f>
        <v/>
      </c>
      <c r="F105" s="12"/>
      <c r="G105" s="16" t="str">
        <f aca="false">IF(OR($B105="",$C105="",$F105=""),"",IF($F105=$B105,"Push",IF(OR(AND($C105="Up",$F105&gt;$B105),AND($C105="Down",$F105&lt;$B105)),"Win","Loss")))</f>
        <v/>
      </c>
      <c r="H105" s="17" t="str">
        <f aca="false">IF(G105="","",SUMIFS($E$2:E105,$G$2:G105,"Win")*Setup!$B$2-SUMIFS($E$2:E105,$G$2:G105,"Loss"))</f>
        <v/>
      </c>
    </row>
    <row r="106" customFormat="false" ht="15" hidden="false" customHeight="false" outlineLevel="0" collapsed="false">
      <c r="A106" s="11"/>
      <c r="B106" s="12"/>
      <c r="C106" s="13"/>
      <c r="D106" s="14"/>
      <c r="E106" s="15" t="str">
        <f aca="false">IF(A106="","",Setup!$B$3)</f>
        <v/>
      </c>
      <c r="F106" s="12"/>
      <c r="G106" s="16" t="str">
        <f aca="false">IF(OR($B106="",$C106="",$F106=""),"",IF($F106=$B106,"Push",IF(OR(AND($C106="Up",$F106&gt;$B106),AND($C106="Down",$F106&lt;$B106)),"Win","Loss")))</f>
        <v/>
      </c>
      <c r="H106" s="17" t="str">
        <f aca="false">IF(G106="","",SUMIFS($E$2:E106,$G$2:G106,"Win")*Setup!$B$2-SUMIFS($E$2:E106,$G$2:G106,"Loss"))</f>
        <v/>
      </c>
    </row>
    <row r="107" customFormat="false" ht="15" hidden="false" customHeight="false" outlineLevel="0" collapsed="false">
      <c r="A107" s="11"/>
      <c r="B107" s="12"/>
      <c r="C107" s="13"/>
      <c r="D107" s="14"/>
      <c r="E107" s="15" t="str">
        <f aca="false">IF(A107="","",Setup!$B$3)</f>
        <v/>
      </c>
      <c r="F107" s="12"/>
      <c r="G107" s="16" t="str">
        <f aca="false">IF(OR($B107="",$C107="",$F107=""),"",IF($F107=$B107,"Push",IF(OR(AND($C107="Up",$F107&gt;$B107),AND($C107="Down",$F107&lt;$B107)),"Win","Loss")))</f>
        <v/>
      </c>
      <c r="H107" s="17" t="str">
        <f aca="false">IF(G107="","",SUMIFS($E$2:E107,$G$2:G107,"Win")*Setup!$B$2-SUMIFS($E$2:E107,$G$2:G107,"Loss"))</f>
        <v/>
      </c>
    </row>
    <row r="108" customFormat="false" ht="15" hidden="false" customHeight="false" outlineLevel="0" collapsed="false">
      <c r="A108" s="11"/>
      <c r="B108" s="12"/>
      <c r="C108" s="13"/>
      <c r="D108" s="14"/>
      <c r="E108" s="15" t="str">
        <f aca="false">IF(A108="","",Setup!$B$3)</f>
        <v/>
      </c>
      <c r="F108" s="12"/>
      <c r="G108" s="16" t="str">
        <f aca="false">IF(OR($B108="",$C108="",$F108=""),"",IF($F108=$B108,"Push",IF(OR(AND($C108="Up",$F108&gt;$B108),AND($C108="Down",$F108&lt;$B108)),"Win","Loss")))</f>
        <v/>
      </c>
      <c r="H108" s="17" t="str">
        <f aca="false">IF(G108="","",SUMIFS($E$2:E108,$G$2:G108,"Win")*Setup!$B$2-SUMIFS($E$2:E108,$G$2:G108,"Loss"))</f>
        <v/>
      </c>
    </row>
    <row r="109" customFormat="false" ht="15" hidden="false" customHeight="false" outlineLevel="0" collapsed="false">
      <c r="A109" s="11"/>
      <c r="B109" s="12"/>
      <c r="C109" s="13"/>
      <c r="D109" s="14"/>
      <c r="E109" s="15" t="str">
        <f aca="false">IF(A109="","",Setup!$B$3)</f>
        <v/>
      </c>
      <c r="F109" s="12"/>
      <c r="G109" s="16" t="str">
        <f aca="false">IF(OR($B109="",$C109="",$F109=""),"",IF($F109=$B109,"Push",IF(OR(AND($C109="Up",$F109&gt;$B109),AND($C109="Down",$F109&lt;$B109)),"Win","Loss")))</f>
        <v/>
      </c>
      <c r="H109" s="17" t="str">
        <f aca="false">IF(G109="","",SUMIFS($E$2:E109,$G$2:G109,"Win")*Setup!$B$2-SUMIFS($E$2:E109,$G$2:G109,"Loss"))</f>
        <v/>
      </c>
    </row>
    <row r="110" customFormat="false" ht="15" hidden="false" customHeight="false" outlineLevel="0" collapsed="false">
      <c r="A110" s="11"/>
      <c r="B110" s="12"/>
      <c r="C110" s="13"/>
      <c r="D110" s="14"/>
      <c r="E110" s="15" t="str">
        <f aca="false">IF(A110="","",Setup!$B$3)</f>
        <v/>
      </c>
      <c r="F110" s="12"/>
      <c r="G110" s="16" t="str">
        <f aca="false">IF(OR($B110="",$C110="",$F110=""),"",IF($F110=$B110,"Push",IF(OR(AND($C110="Up",$F110&gt;$B110),AND($C110="Down",$F110&lt;$B110)),"Win","Loss")))</f>
        <v/>
      </c>
      <c r="H110" s="17" t="str">
        <f aca="false">IF(G110="","",SUMIFS($E$2:E110,$G$2:G110,"Win")*Setup!$B$2-SUMIFS($E$2:E110,$G$2:G110,"Loss"))</f>
        <v/>
      </c>
    </row>
    <row r="111" customFormat="false" ht="15" hidden="false" customHeight="false" outlineLevel="0" collapsed="false">
      <c r="A111" s="11"/>
      <c r="B111" s="12"/>
      <c r="C111" s="13"/>
      <c r="D111" s="14"/>
      <c r="E111" s="15" t="str">
        <f aca="false">IF(A111="","",Setup!$B$3)</f>
        <v/>
      </c>
      <c r="F111" s="12"/>
      <c r="G111" s="16" t="str">
        <f aca="false">IF(OR($B111="",$C111="",$F111=""),"",IF($F111=$B111,"Push",IF(OR(AND($C111="Up",$F111&gt;$B111),AND($C111="Down",$F111&lt;$B111)),"Win","Loss")))</f>
        <v/>
      </c>
      <c r="H111" s="17" t="str">
        <f aca="false">IF(G111="","",SUMIFS($E$2:E111,$G$2:G111,"Win")*Setup!$B$2-SUMIFS($E$2:E111,$G$2:G111,"Loss"))</f>
        <v/>
      </c>
    </row>
    <row r="112" customFormat="false" ht="15" hidden="false" customHeight="false" outlineLevel="0" collapsed="false">
      <c r="A112" s="11"/>
      <c r="B112" s="12"/>
      <c r="C112" s="13"/>
      <c r="D112" s="14"/>
      <c r="E112" s="15" t="str">
        <f aca="false">IF(A112="","",Setup!$B$3)</f>
        <v/>
      </c>
      <c r="F112" s="12"/>
      <c r="G112" s="16" t="str">
        <f aca="false">IF(OR($B112="",$C112="",$F112=""),"",IF($F112=$B112,"Push",IF(OR(AND($C112="Up",$F112&gt;$B112),AND($C112="Down",$F112&lt;$B112)),"Win","Loss")))</f>
        <v/>
      </c>
      <c r="H112" s="17" t="str">
        <f aca="false">IF(G112="","",SUMIFS($E$2:E112,$G$2:G112,"Win")*Setup!$B$2-SUMIFS($E$2:E112,$G$2:G112,"Loss"))</f>
        <v/>
      </c>
    </row>
    <row r="113" customFormat="false" ht="15" hidden="false" customHeight="false" outlineLevel="0" collapsed="false">
      <c r="A113" s="11"/>
      <c r="B113" s="12"/>
      <c r="C113" s="13"/>
      <c r="D113" s="14"/>
      <c r="E113" s="15" t="str">
        <f aca="false">IF(A113="","",Setup!$B$3)</f>
        <v/>
      </c>
      <c r="F113" s="12"/>
      <c r="G113" s="16" t="str">
        <f aca="false">IF(OR($B113="",$C113="",$F113=""),"",IF($F113=$B113,"Push",IF(OR(AND($C113="Up",$F113&gt;$B113),AND($C113="Down",$F113&lt;$B113)),"Win","Loss")))</f>
        <v/>
      </c>
      <c r="H113" s="17" t="str">
        <f aca="false">IF(G113="","",SUMIFS($E$2:E113,$G$2:G113,"Win")*Setup!$B$2-SUMIFS($E$2:E113,$G$2:G113,"Loss"))</f>
        <v/>
      </c>
    </row>
    <row r="114" customFormat="false" ht="15" hidden="false" customHeight="false" outlineLevel="0" collapsed="false">
      <c r="A114" s="11"/>
      <c r="B114" s="12"/>
      <c r="C114" s="13"/>
      <c r="D114" s="14"/>
      <c r="E114" s="15" t="str">
        <f aca="false">IF(A114="","",Setup!$B$3)</f>
        <v/>
      </c>
      <c r="F114" s="12"/>
      <c r="G114" s="16" t="str">
        <f aca="false">IF(OR($B114="",$C114="",$F114=""),"",IF($F114=$B114,"Push",IF(OR(AND($C114="Up",$F114&gt;$B114),AND($C114="Down",$F114&lt;$B114)),"Win","Loss")))</f>
        <v/>
      </c>
      <c r="H114" s="17" t="str">
        <f aca="false">IF(G114="","",SUMIFS($E$2:E114,$G$2:G114,"Win")*Setup!$B$2-SUMIFS($E$2:E114,$G$2:G114,"Loss"))</f>
        <v/>
      </c>
    </row>
    <row r="115" customFormat="false" ht="15" hidden="false" customHeight="false" outlineLevel="0" collapsed="false">
      <c r="A115" s="11"/>
      <c r="B115" s="12"/>
      <c r="C115" s="13"/>
      <c r="D115" s="14"/>
      <c r="E115" s="15" t="str">
        <f aca="false">IF(A115="","",Setup!$B$3)</f>
        <v/>
      </c>
      <c r="F115" s="12"/>
      <c r="G115" s="16" t="str">
        <f aca="false">IF(OR($B115="",$C115="",$F115=""),"",IF($F115=$B115,"Push",IF(OR(AND($C115="Up",$F115&gt;$B115),AND($C115="Down",$F115&lt;$B115)),"Win","Loss")))</f>
        <v/>
      </c>
      <c r="H115" s="17" t="str">
        <f aca="false">IF(G115="","",SUMIFS($E$2:E115,$G$2:G115,"Win")*Setup!$B$2-SUMIFS($E$2:E115,$G$2:G115,"Loss"))</f>
        <v/>
      </c>
    </row>
    <row r="116" customFormat="false" ht="15" hidden="false" customHeight="false" outlineLevel="0" collapsed="false">
      <c r="A116" s="11"/>
      <c r="B116" s="12"/>
      <c r="C116" s="13"/>
      <c r="D116" s="14"/>
      <c r="E116" s="15" t="str">
        <f aca="false">IF(A116="","",Setup!$B$3)</f>
        <v/>
      </c>
      <c r="F116" s="12"/>
      <c r="G116" s="16" t="str">
        <f aca="false">IF(OR($B116="",$C116="",$F116=""),"",IF($F116=$B116,"Push",IF(OR(AND($C116="Up",$F116&gt;$B116),AND($C116="Down",$F116&lt;$B116)),"Win","Loss")))</f>
        <v/>
      </c>
      <c r="H116" s="17" t="str">
        <f aca="false">IF(G116="","",SUMIFS($E$2:E116,$G$2:G116,"Win")*Setup!$B$2-SUMIFS($E$2:E116,$G$2:G116,"Loss"))</f>
        <v/>
      </c>
    </row>
    <row r="117" customFormat="false" ht="15" hidden="false" customHeight="false" outlineLevel="0" collapsed="false">
      <c r="A117" s="11"/>
      <c r="B117" s="12"/>
      <c r="C117" s="13"/>
      <c r="D117" s="14"/>
      <c r="E117" s="15" t="str">
        <f aca="false">IF(A117="","",Setup!$B$3)</f>
        <v/>
      </c>
      <c r="F117" s="12"/>
      <c r="G117" s="16" t="str">
        <f aca="false">IF(OR($B117="",$C117="",$F117=""),"",IF($F117=$B117,"Push",IF(OR(AND($C117="Up",$F117&gt;$B117),AND($C117="Down",$F117&lt;$B117)),"Win","Loss")))</f>
        <v/>
      </c>
      <c r="H117" s="17" t="str">
        <f aca="false">IF(G117="","",SUMIFS($E$2:E117,$G$2:G117,"Win")*Setup!$B$2-SUMIFS($E$2:E117,$G$2:G117,"Loss"))</f>
        <v/>
      </c>
    </row>
    <row r="118" customFormat="false" ht="15" hidden="false" customHeight="false" outlineLevel="0" collapsed="false">
      <c r="A118" s="11"/>
      <c r="B118" s="12"/>
      <c r="C118" s="13"/>
      <c r="D118" s="14"/>
      <c r="E118" s="15" t="str">
        <f aca="false">IF(A118="","",Setup!$B$3)</f>
        <v/>
      </c>
      <c r="F118" s="12"/>
      <c r="G118" s="16" t="str">
        <f aca="false">IF(OR($B118="",$C118="",$F118=""),"",IF($F118=$B118,"Push",IF(OR(AND($C118="Up",$F118&gt;$B118),AND($C118="Down",$F118&lt;$B118)),"Win","Loss")))</f>
        <v/>
      </c>
      <c r="H118" s="17" t="str">
        <f aca="false">IF(G118="","",SUMIFS($E$2:E118,$G$2:G118,"Win")*Setup!$B$2-SUMIFS($E$2:E118,$G$2:G118,"Loss"))</f>
        <v/>
      </c>
    </row>
    <row r="119" customFormat="false" ht="15" hidden="false" customHeight="false" outlineLevel="0" collapsed="false">
      <c r="A119" s="11"/>
      <c r="B119" s="12"/>
      <c r="C119" s="13"/>
      <c r="D119" s="14"/>
      <c r="E119" s="15" t="str">
        <f aca="false">IF(A119="","",Setup!$B$3)</f>
        <v/>
      </c>
      <c r="F119" s="12"/>
      <c r="G119" s="16" t="str">
        <f aca="false">IF(OR($B119="",$C119="",$F119=""),"",IF($F119=$B119,"Push",IF(OR(AND($C119="Up",$F119&gt;$B119),AND($C119="Down",$F119&lt;$B119)),"Win","Loss")))</f>
        <v/>
      </c>
      <c r="H119" s="17" t="str">
        <f aca="false">IF(G119="","",SUMIFS($E$2:E119,$G$2:G119,"Win")*Setup!$B$2-SUMIFS($E$2:E119,$G$2:G119,"Loss"))</f>
        <v/>
      </c>
    </row>
    <row r="120" customFormat="false" ht="15" hidden="false" customHeight="false" outlineLevel="0" collapsed="false">
      <c r="A120" s="11"/>
      <c r="B120" s="12"/>
      <c r="C120" s="13"/>
      <c r="D120" s="14"/>
      <c r="E120" s="15" t="str">
        <f aca="false">IF(A120="","",Setup!$B$3)</f>
        <v/>
      </c>
      <c r="F120" s="12"/>
      <c r="G120" s="16" t="str">
        <f aca="false">IF(OR($B120="",$C120="",$F120=""),"",IF($F120=$B120,"Push",IF(OR(AND($C120="Up",$F120&gt;$B120),AND($C120="Down",$F120&lt;$B120)),"Win","Loss")))</f>
        <v/>
      </c>
      <c r="H120" s="17" t="str">
        <f aca="false">IF(G120="","",SUMIFS($E$2:E120,$G$2:G120,"Win")*Setup!$B$2-SUMIFS($E$2:E120,$G$2:G120,"Loss"))</f>
        <v/>
      </c>
    </row>
    <row r="121" customFormat="false" ht="15" hidden="false" customHeight="false" outlineLevel="0" collapsed="false">
      <c r="A121" s="11"/>
      <c r="B121" s="12"/>
      <c r="C121" s="13"/>
      <c r="D121" s="14"/>
      <c r="E121" s="15" t="str">
        <f aca="false">IF(A121="","",Setup!$B$3)</f>
        <v/>
      </c>
      <c r="F121" s="12"/>
      <c r="G121" s="16" t="str">
        <f aca="false">IF(OR($B121="",$C121="",$F121=""),"",IF($F121=$B121,"Push",IF(OR(AND($C121="Up",$F121&gt;$B121),AND($C121="Down",$F121&lt;$B121)),"Win","Loss")))</f>
        <v/>
      </c>
      <c r="H121" s="17" t="str">
        <f aca="false">IF(G121="","",SUMIFS($E$2:E121,$G$2:G121,"Win")*Setup!$B$2-SUMIFS($E$2:E121,$G$2:G121,"Loss"))</f>
        <v/>
      </c>
    </row>
    <row r="122" customFormat="false" ht="15" hidden="false" customHeight="false" outlineLevel="0" collapsed="false">
      <c r="A122" s="11"/>
      <c r="B122" s="12"/>
      <c r="C122" s="13"/>
      <c r="D122" s="14"/>
      <c r="E122" s="15" t="str">
        <f aca="false">IF(A122="","",Setup!$B$3)</f>
        <v/>
      </c>
      <c r="F122" s="12"/>
      <c r="G122" s="16" t="str">
        <f aca="false">IF(OR($B122="",$C122="",$F122=""),"",IF($F122=$B122,"Push",IF(OR(AND($C122="Up",$F122&gt;$B122),AND($C122="Down",$F122&lt;$B122)),"Win","Loss")))</f>
        <v/>
      </c>
      <c r="H122" s="17" t="str">
        <f aca="false">IF(G122="","",SUMIFS($E$2:E122,$G$2:G122,"Win")*Setup!$B$2-SUMIFS($E$2:E122,$G$2:G122,"Loss"))</f>
        <v/>
      </c>
    </row>
    <row r="123" customFormat="false" ht="15" hidden="false" customHeight="false" outlineLevel="0" collapsed="false">
      <c r="A123" s="11"/>
      <c r="B123" s="12"/>
      <c r="C123" s="13"/>
      <c r="D123" s="14"/>
      <c r="E123" s="15" t="str">
        <f aca="false">IF(A123="","",Setup!$B$3)</f>
        <v/>
      </c>
      <c r="F123" s="12"/>
      <c r="G123" s="16" t="str">
        <f aca="false">IF(OR($B123="",$C123="",$F123=""),"",IF($F123=$B123,"Push",IF(OR(AND($C123="Up",$F123&gt;$B123),AND($C123="Down",$F123&lt;$B123)),"Win","Loss")))</f>
        <v/>
      </c>
      <c r="H123" s="17" t="str">
        <f aca="false">IF(G123="","",SUMIFS($E$2:E123,$G$2:G123,"Win")*Setup!$B$2-SUMIFS($E$2:E123,$G$2:G123,"Loss"))</f>
        <v/>
      </c>
    </row>
    <row r="124" customFormat="false" ht="15" hidden="false" customHeight="false" outlineLevel="0" collapsed="false">
      <c r="A124" s="11"/>
      <c r="B124" s="12"/>
      <c r="C124" s="13"/>
      <c r="D124" s="14"/>
      <c r="E124" s="15" t="str">
        <f aca="false">IF(A124="","",Setup!$B$3)</f>
        <v/>
      </c>
      <c r="F124" s="12"/>
      <c r="G124" s="16" t="str">
        <f aca="false">IF(OR($B124="",$C124="",$F124=""),"",IF($F124=$B124,"Push",IF(OR(AND($C124="Up",$F124&gt;$B124),AND($C124="Down",$F124&lt;$B124)),"Win","Loss")))</f>
        <v/>
      </c>
      <c r="H124" s="17" t="str">
        <f aca="false">IF(G124="","",SUMIFS($E$2:E124,$G$2:G124,"Win")*Setup!$B$2-SUMIFS($E$2:E124,$G$2:G124,"Loss"))</f>
        <v/>
      </c>
    </row>
    <row r="125" customFormat="false" ht="15" hidden="false" customHeight="false" outlineLevel="0" collapsed="false">
      <c r="A125" s="11"/>
      <c r="B125" s="12"/>
      <c r="C125" s="13"/>
      <c r="D125" s="14"/>
      <c r="E125" s="15" t="str">
        <f aca="false">IF(A125="","",Setup!$B$3)</f>
        <v/>
      </c>
      <c r="F125" s="12"/>
      <c r="G125" s="16" t="str">
        <f aca="false">IF(OR($B125="",$C125="",$F125=""),"",IF($F125=$B125,"Push",IF(OR(AND($C125="Up",$F125&gt;$B125),AND($C125="Down",$F125&lt;$B125)),"Win","Loss")))</f>
        <v/>
      </c>
      <c r="H125" s="17" t="str">
        <f aca="false">IF(G125="","",SUMIFS($E$2:E125,$G$2:G125,"Win")*Setup!$B$2-SUMIFS($E$2:E125,$G$2:G125,"Loss"))</f>
        <v/>
      </c>
    </row>
    <row r="126" customFormat="false" ht="15" hidden="false" customHeight="false" outlineLevel="0" collapsed="false">
      <c r="A126" s="11"/>
      <c r="B126" s="12"/>
      <c r="C126" s="13"/>
      <c r="D126" s="14"/>
      <c r="E126" s="15" t="str">
        <f aca="false">IF(A126="","",Setup!$B$3)</f>
        <v/>
      </c>
      <c r="F126" s="12"/>
      <c r="G126" s="16" t="str">
        <f aca="false">IF(OR($B126="",$C126="",$F126=""),"",IF($F126=$B126,"Push",IF(OR(AND($C126="Up",$F126&gt;$B126),AND($C126="Down",$F126&lt;$B126)),"Win","Loss")))</f>
        <v/>
      </c>
      <c r="H126" s="17" t="str">
        <f aca="false">IF(G126="","",SUMIFS($E$2:E126,$G$2:G126,"Win")*Setup!$B$2-SUMIFS($E$2:E126,$G$2:G126,"Loss"))</f>
        <v/>
      </c>
    </row>
    <row r="127" customFormat="false" ht="15" hidden="false" customHeight="false" outlineLevel="0" collapsed="false">
      <c r="A127" s="11"/>
      <c r="B127" s="12"/>
      <c r="C127" s="13"/>
      <c r="D127" s="14"/>
      <c r="E127" s="15" t="str">
        <f aca="false">IF(A127="","",Setup!$B$3)</f>
        <v/>
      </c>
      <c r="F127" s="12"/>
      <c r="G127" s="16" t="str">
        <f aca="false">IF(OR($B127="",$C127="",$F127=""),"",IF($F127=$B127,"Push",IF(OR(AND($C127="Up",$F127&gt;$B127),AND($C127="Down",$F127&lt;$B127)),"Win","Loss")))</f>
        <v/>
      </c>
      <c r="H127" s="17" t="str">
        <f aca="false">IF(G127="","",SUMIFS($E$2:E127,$G$2:G127,"Win")*Setup!$B$2-SUMIFS($E$2:E127,$G$2:G127,"Loss"))</f>
        <v/>
      </c>
    </row>
    <row r="128" customFormat="false" ht="15" hidden="false" customHeight="false" outlineLevel="0" collapsed="false">
      <c r="A128" s="11"/>
      <c r="B128" s="12"/>
      <c r="C128" s="13"/>
      <c r="D128" s="14"/>
      <c r="E128" s="15" t="str">
        <f aca="false">IF(A128="","",Setup!$B$3)</f>
        <v/>
      </c>
      <c r="F128" s="12"/>
      <c r="G128" s="16" t="str">
        <f aca="false">IF(OR($B128="",$C128="",$F128=""),"",IF($F128=$B128,"Push",IF(OR(AND($C128="Up",$F128&gt;$B128),AND($C128="Down",$F128&lt;$B128)),"Win","Loss")))</f>
        <v/>
      </c>
      <c r="H128" s="17" t="str">
        <f aca="false">IF(G128="","",SUMIFS($E$2:E128,$G$2:G128,"Win")*Setup!$B$2-SUMIFS($E$2:E128,$G$2:G128,"Loss"))</f>
        <v/>
      </c>
    </row>
    <row r="129" customFormat="false" ht="15" hidden="false" customHeight="false" outlineLevel="0" collapsed="false">
      <c r="A129" s="11"/>
      <c r="B129" s="12"/>
      <c r="C129" s="13"/>
      <c r="D129" s="14"/>
      <c r="E129" s="15" t="str">
        <f aca="false">IF(A129="","",Setup!$B$3)</f>
        <v/>
      </c>
      <c r="F129" s="12"/>
      <c r="G129" s="16" t="str">
        <f aca="false">IF(OR($B129="",$C129="",$F129=""),"",IF($F129=$B129,"Push",IF(OR(AND($C129="Up",$F129&gt;$B129),AND($C129="Down",$F129&lt;$B129)),"Win","Loss")))</f>
        <v/>
      </c>
      <c r="H129" s="17" t="str">
        <f aca="false">IF(G129="","",SUMIFS($E$2:E129,$G$2:G129,"Win")*Setup!$B$2-SUMIFS($E$2:E129,$G$2:G129,"Loss"))</f>
        <v/>
      </c>
    </row>
    <row r="130" customFormat="false" ht="15" hidden="false" customHeight="false" outlineLevel="0" collapsed="false">
      <c r="A130" s="11"/>
      <c r="B130" s="12"/>
      <c r="C130" s="13"/>
      <c r="D130" s="14"/>
      <c r="E130" s="15" t="str">
        <f aca="false">IF(A130="","",Setup!$B$3)</f>
        <v/>
      </c>
      <c r="F130" s="12"/>
      <c r="G130" s="16" t="str">
        <f aca="false">IF(OR($B130="",$C130="",$F130=""),"",IF($F130=$B130,"Push",IF(OR(AND($C130="Up",$F130&gt;$B130),AND($C130="Down",$F130&lt;$B130)),"Win","Loss")))</f>
        <v/>
      </c>
      <c r="H130" s="17" t="str">
        <f aca="false">IF(G130="","",SUMIFS($E$2:E130,$G$2:G130,"Win")*Setup!$B$2-SUMIFS($E$2:E130,$G$2:G130,"Loss"))</f>
        <v/>
      </c>
    </row>
    <row r="131" customFormat="false" ht="15" hidden="false" customHeight="false" outlineLevel="0" collapsed="false">
      <c r="A131" s="11"/>
      <c r="B131" s="12"/>
      <c r="C131" s="13"/>
      <c r="D131" s="14"/>
      <c r="E131" s="15" t="str">
        <f aca="false">IF(A131="","",Setup!$B$3)</f>
        <v/>
      </c>
      <c r="F131" s="12"/>
      <c r="G131" s="16" t="str">
        <f aca="false">IF(OR($B131="",$C131="",$F131=""),"",IF($F131=$B131,"Push",IF(OR(AND($C131="Up",$F131&gt;$B131),AND($C131="Down",$F131&lt;$B131)),"Win","Loss")))</f>
        <v/>
      </c>
      <c r="H131" s="17" t="str">
        <f aca="false">IF(G131="","",SUMIFS($E$2:E131,$G$2:G131,"Win")*Setup!$B$2-SUMIFS($E$2:E131,$G$2:G131,"Loss"))</f>
        <v/>
      </c>
    </row>
    <row r="132" customFormat="false" ht="15" hidden="false" customHeight="false" outlineLevel="0" collapsed="false">
      <c r="A132" s="11"/>
      <c r="B132" s="12"/>
      <c r="C132" s="13"/>
      <c r="D132" s="14"/>
      <c r="E132" s="15" t="str">
        <f aca="false">IF(A132="","",Setup!$B$3)</f>
        <v/>
      </c>
      <c r="F132" s="12"/>
      <c r="G132" s="16" t="str">
        <f aca="false">IF(OR($B132="",$C132="",$F132=""),"",IF($F132=$B132,"Push",IF(OR(AND($C132="Up",$F132&gt;$B132),AND($C132="Down",$F132&lt;$B132)),"Win","Loss")))</f>
        <v/>
      </c>
      <c r="H132" s="17" t="str">
        <f aca="false">IF(G132="","",SUMIFS($E$2:E132,$G$2:G132,"Win")*Setup!$B$2-SUMIFS($E$2:E132,$G$2:G132,"Loss"))</f>
        <v/>
      </c>
    </row>
    <row r="133" customFormat="false" ht="15" hidden="false" customHeight="false" outlineLevel="0" collapsed="false">
      <c r="A133" s="11"/>
      <c r="B133" s="12"/>
      <c r="C133" s="13"/>
      <c r="D133" s="14"/>
      <c r="E133" s="15" t="str">
        <f aca="false">IF(A133="","",Setup!$B$3)</f>
        <v/>
      </c>
      <c r="F133" s="12"/>
      <c r="G133" s="16" t="str">
        <f aca="false">IF(OR($B133="",$C133="",$F133=""),"",IF($F133=$B133,"Push",IF(OR(AND($C133="Up",$F133&gt;$B133),AND($C133="Down",$F133&lt;$B133)),"Win","Loss")))</f>
        <v/>
      </c>
      <c r="H133" s="17" t="str">
        <f aca="false">IF(G133="","",SUMIFS($E$2:E133,$G$2:G133,"Win")*Setup!$B$2-SUMIFS($E$2:E133,$G$2:G133,"Loss"))</f>
        <v/>
      </c>
    </row>
    <row r="134" customFormat="false" ht="15" hidden="false" customHeight="false" outlineLevel="0" collapsed="false">
      <c r="A134" s="11"/>
      <c r="B134" s="12"/>
      <c r="C134" s="13"/>
      <c r="D134" s="14"/>
      <c r="E134" s="15" t="str">
        <f aca="false">IF(A134="","",Setup!$B$3)</f>
        <v/>
      </c>
      <c r="F134" s="12"/>
      <c r="G134" s="16" t="str">
        <f aca="false">IF(OR($B134="",$C134="",$F134=""),"",IF($F134=$B134,"Push",IF(OR(AND($C134="Up",$F134&gt;$B134),AND($C134="Down",$F134&lt;$B134)),"Win","Loss")))</f>
        <v/>
      </c>
      <c r="H134" s="17" t="str">
        <f aca="false">IF(G134="","",SUMIFS($E$2:E134,$G$2:G134,"Win")*Setup!$B$2-SUMIFS($E$2:E134,$G$2:G134,"Loss"))</f>
        <v/>
      </c>
    </row>
    <row r="135" customFormat="false" ht="15" hidden="false" customHeight="false" outlineLevel="0" collapsed="false">
      <c r="A135" s="11"/>
      <c r="B135" s="12"/>
      <c r="C135" s="13"/>
      <c r="D135" s="14"/>
      <c r="E135" s="15" t="str">
        <f aca="false">IF(A135="","",Setup!$B$3)</f>
        <v/>
      </c>
      <c r="F135" s="12"/>
      <c r="G135" s="16" t="str">
        <f aca="false">IF(OR($B135="",$C135="",$F135=""),"",IF($F135=$B135,"Push",IF(OR(AND($C135="Up",$F135&gt;$B135),AND($C135="Down",$F135&lt;$B135)),"Win","Loss")))</f>
        <v/>
      </c>
      <c r="H135" s="17" t="str">
        <f aca="false">IF(G135="","",SUMIFS($E$2:E135,$G$2:G135,"Win")*Setup!$B$2-SUMIFS($E$2:E135,$G$2:G135,"Loss"))</f>
        <v/>
      </c>
    </row>
    <row r="136" customFormat="false" ht="15" hidden="false" customHeight="false" outlineLevel="0" collapsed="false">
      <c r="A136" s="11"/>
      <c r="B136" s="12"/>
      <c r="C136" s="13"/>
      <c r="D136" s="14"/>
      <c r="E136" s="15" t="str">
        <f aca="false">IF(A136="","",Setup!$B$3)</f>
        <v/>
      </c>
      <c r="F136" s="12"/>
      <c r="G136" s="16" t="str">
        <f aca="false">IF(OR($B136="",$C136="",$F136=""),"",IF($F136=$B136,"Push",IF(OR(AND($C136="Up",$F136&gt;$B136),AND($C136="Down",$F136&lt;$B136)),"Win","Loss")))</f>
        <v/>
      </c>
      <c r="H136" s="17" t="str">
        <f aca="false">IF(G136="","",SUMIFS($E$2:E136,$G$2:G136,"Win")*Setup!$B$2-SUMIFS($E$2:E136,$G$2:G136,"Loss"))</f>
        <v/>
      </c>
    </row>
    <row r="137" customFormat="false" ht="15" hidden="false" customHeight="false" outlineLevel="0" collapsed="false">
      <c r="A137" s="11"/>
      <c r="B137" s="12"/>
      <c r="C137" s="13"/>
      <c r="D137" s="14"/>
      <c r="E137" s="15" t="str">
        <f aca="false">IF(A137="","",Setup!$B$3)</f>
        <v/>
      </c>
      <c r="F137" s="12"/>
      <c r="G137" s="16" t="str">
        <f aca="false">IF(OR($B137="",$C137="",$F137=""),"",IF($F137=$B137,"Push",IF(OR(AND($C137="Up",$F137&gt;$B137),AND($C137="Down",$F137&lt;$B137)),"Win","Loss")))</f>
        <v/>
      </c>
      <c r="H137" s="17" t="str">
        <f aca="false">IF(G137="","",SUMIFS($E$2:E137,$G$2:G137,"Win")*Setup!$B$2-SUMIFS($E$2:E137,$G$2:G137,"Loss"))</f>
        <v/>
      </c>
    </row>
    <row r="138" customFormat="false" ht="15" hidden="false" customHeight="false" outlineLevel="0" collapsed="false">
      <c r="A138" s="11"/>
      <c r="B138" s="12"/>
      <c r="C138" s="13"/>
      <c r="D138" s="14"/>
      <c r="E138" s="15" t="str">
        <f aca="false">IF(A138="","",Setup!$B$3)</f>
        <v/>
      </c>
      <c r="F138" s="12"/>
      <c r="G138" s="16" t="str">
        <f aca="false">IF(OR($B138="",$C138="",$F138=""),"",IF($F138=$B138,"Push",IF(OR(AND($C138="Up",$F138&gt;$B138),AND($C138="Down",$F138&lt;$B138)),"Win","Loss")))</f>
        <v/>
      </c>
      <c r="H138" s="17" t="str">
        <f aca="false">IF(G138="","",SUMIFS($E$2:E138,$G$2:G138,"Win")*Setup!$B$2-SUMIFS($E$2:E138,$G$2:G138,"Loss"))</f>
        <v/>
      </c>
    </row>
    <row r="139" customFormat="false" ht="15" hidden="false" customHeight="false" outlineLevel="0" collapsed="false">
      <c r="A139" s="11"/>
      <c r="B139" s="12"/>
      <c r="C139" s="13"/>
      <c r="D139" s="14"/>
      <c r="E139" s="15" t="str">
        <f aca="false">IF(A139="","",Setup!$B$3)</f>
        <v/>
      </c>
      <c r="F139" s="12"/>
      <c r="G139" s="16" t="str">
        <f aca="false">IF(OR($B139="",$C139="",$F139=""),"",IF($F139=$B139,"Push",IF(OR(AND($C139="Up",$F139&gt;$B139),AND($C139="Down",$F139&lt;$B139)),"Win","Loss")))</f>
        <v/>
      </c>
      <c r="H139" s="17" t="str">
        <f aca="false">IF(G139="","",SUMIFS($E$2:E139,$G$2:G139,"Win")*Setup!$B$2-SUMIFS($E$2:E139,$G$2:G139,"Loss"))</f>
        <v/>
      </c>
    </row>
    <row r="140" customFormat="false" ht="15" hidden="false" customHeight="false" outlineLevel="0" collapsed="false">
      <c r="A140" s="11"/>
      <c r="B140" s="12"/>
      <c r="C140" s="13"/>
      <c r="D140" s="14"/>
      <c r="E140" s="15" t="str">
        <f aca="false">IF(A140="","",Setup!$B$3)</f>
        <v/>
      </c>
      <c r="F140" s="12"/>
      <c r="G140" s="16" t="str">
        <f aca="false">IF(OR($B140="",$C140="",$F140=""),"",IF($F140=$B140,"Push",IF(OR(AND($C140="Up",$F140&gt;$B140),AND($C140="Down",$F140&lt;$B140)),"Win","Loss")))</f>
        <v/>
      </c>
      <c r="H140" s="17" t="str">
        <f aca="false">IF(G140="","",SUMIFS($E$2:E140,$G$2:G140,"Win")*Setup!$B$2-SUMIFS($E$2:E140,$G$2:G140,"Loss"))</f>
        <v/>
      </c>
    </row>
    <row r="141" customFormat="false" ht="15" hidden="false" customHeight="false" outlineLevel="0" collapsed="false">
      <c r="A141" s="11"/>
      <c r="B141" s="12"/>
      <c r="C141" s="13"/>
      <c r="D141" s="14"/>
      <c r="E141" s="15" t="str">
        <f aca="false">IF(A141="","",Setup!$B$3)</f>
        <v/>
      </c>
      <c r="F141" s="12"/>
      <c r="G141" s="16" t="str">
        <f aca="false">IF(OR($B141="",$C141="",$F141=""),"",IF($F141=$B141,"Push",IF(OR(AND($C141="Up",$F141&gt;$B141),AND($C141="Down",$F141&lt;$B141)),"Win","Loss")))</f>
        <v/>
      </c>
      <c r="H141" s="17" t="str">
        <f aca="false">IF(G141="","",SUMIFS($E$2:E141,$G$2:G141,"Win")*Setup!$B$2-SUMIFS($E$2:E141,$G$2:G141,"Loss"))</f>
        <v/>
      </c>
    </row>
    <row r="142" customFormat="false" ht="15" hidden="false" customHeight="false" outlineLevel="0" collapsed="false">
      <c r="A142" s="11"/>
      <c r="B142" s="12"/>
      <c r="C142" s="13"/>
      <c r="D142" s="14"/>
      <c r="E142" s="15" t="str">
        <f aca="false">IF(A142="","",Setup!$B$3)</f>
        <v/>
      </c>
      <c r="F142" s="12"/>
      <c r="G142" s="16" t="str">
        <f aca="false">IF(OR($B142="",$C142="",$F142=""),"",IF($F142=$B142,"Push",IF(OR(AND($C142="Up",$F142&gt;$B142),AND($C142="Down",$F142&lt;$B142)),"Win","Loss")))</f>
        <v/>
      </c>
      <c r="H142" s="17" t="str">
        <f aca="false">IF(G142="","",SUMIFS($E$2:E142,$G$2:G142,"Win")*Setup!$B$2-SUMIFS($E$2:E142,$G$2:G142,"Loss"))</f>
        <v/>
      </c>
    </row>
    <row r="143" customFormat="false" ht="15" hidden="false" customHeight="false" outlineLevel="0" collapsed="false">
      <c r="A143" s="11"/>
      <c r="B143" s="12"/>
      <c r="C143" s="13"/>
      <c r="D143" s="14"/>
      <c r="E143" s="15" t="str">
        <f aca="false">IF(A143="","",Setup!$B$3)</f>
        <v/>
      </c>
      <c r="F143" s="12"/>
      <c r="G143" s="16" t="str">
        <f aca="false">IF(OR($B143="",$C143="",$F143=""),"",IF($F143=$B143,"Push",IF(OR(AND($C143="Up",$F143&gt;$B143),AND($C143="Down",$F143&lt;$B143)),"Win","Loss")))</f>
        <v/>
      </c>
      <c r="H143" s="17" t="str">
        <f aca="false">IF(G143="","",SUMIFS($E$2:E143,$G$2:G143,"Win")*Setup!$B$2-SUMIFS($E$2:E143,$G$2:G143,"Loss"))</f>
        <v/>
      </c>
    </row>
    <row r="144" customFormat="false" ht="15" hidden="false" customHeight="false" outlineLevel="0" collapsed="false">
      <c r="A144" s="11"/>
      <c r="B144" s="12"/>
      <c r="C144" s="13"/>
      <c r="D144" s="14"/>
      <c r="E144" s="15" t="str">
        <f aca="false">IF(A144="","",Setup!$B$3)</f>
        <v/>
      </c>
      <c r="F144" s="12"/>
      <c r="G144" s="16" t="str">
        <f aca="false">IF(OR($B144="",$C144="",$F144=""),"",IF($F144=$B144,"Push",IF(OR(AND($C144="Up",$F144&gt;$B144),AND($C144="Down",$F144&lt;$B144)),"Win","Loss")))</f>
        <v/>
      </c>
      <c r="H144" s="17" t="str">
        <f aca="false">IF(G144="","",SUMIFS($E$2:E144,$G$2:G144,"Win")*Setup!$B$2-SUMIFS($E$2:E144,$G$2:G144,"Loss"))</f>
        <v/>
      </c>
    </row>
    <row r="145" customFormat="false" ht="15" hidden="false" customHeight="false" outlineLevel="0" collapsed="false">
      <c r="A145" s="11"/>
      <c r="B145" s="12"/>
      <c r="C145" s="13"/>
      <c r="D145" s="14"/>
      <c r="E145" s="15" t="str">
        <f aca="false">IF(A145="","",Setup!$B$3)</f>
        <v/>
      </c>
      <c r="F145" s="12"/>
      <c r="G145" s="16" t="str">
        <f aca="false">IF(OR($B145="",$C145="",$F145=""),"",IF($F145=$B145,"Push",IF(OR(AND($C145="Up",$F145&gt;$B145),AND($C145="Down",$F145&lt;$B145)),"Win","Loss")))</f>
        <v/>
      </c>
      <c r="H145" s="17" t="str">
        <f aca="false">IF(G145="","",SUMIFS($E$2:E145,$G$2:G145,"Win")*Setup!$B$2-SUMIFS($E$2:E145,$G$2:G145,"Loss"))</f>
        <v/>
      </c>
    </row>
    <row r="146" customFormat="false" ht="15" hidden="false" customHeight="false" outlineLevel="0" collapsed="false">
      <c r="A146" s="11"/>
      <c r="B146" s="12"/>
      <c r="C146" s="13"/>
      <c r="D146" s="14"/>
      <c r="E146" s="15" t="str">
        <f aca="false">IF(A146="","",Setup!$B$3)</f>
        <v/>
      </c>
      <c r="F146" s="12"/>
      <c r="G146" s="16" t="str">
        <f aca="false">IF(OR($B146="",$C146="",$F146=""),"",IF($F146=$B146,"Push",IF(OR(AND($C146="Up",$F146&gt;$B146),AND($C146="Down",$F146&lt;$B146)),"Win","Loss")))</f>
        <v/>
      </c>
      <c r="H146" s="17" t="str">
        <f aca="false">IF(G146="","",SUMIFS($E$2:E146,$G$2:G146,"Win")*Setup!$B$2-SUMIFS($E$2:E146,$G$2:G146,"Loss"))</f>
        <v/>
      </c>
    </row>
    <row r="147" customFormat="false" ht="15" hidden="false" customHeight="false" outlineLevel="0" collapsed="false">
      <c r="A147" s="11"/>
      <c r="B147" s="12"/>
      <c r="C147" s="13"/>
      <c r="D147" s="14"/>
      <c r="E147" s="15" t="str">
        <f aca="false">IF(A147="","",Setup!$B$3)</f>
        <v/>
      </c>
      <c r="F147" s="12"/>
      <c r="G147" s="16" t="str">
        <f aca="false">IF(OR($B147="",$C147="",$F147=""),"",IF($F147=$B147,"Push",IF(OR(AND($C147="Up",$F147&gt;$B147),AND($C147="Down",$F147&lt;$B147)),"Win","Loss")))</f>
        <v/>
      </c>
      <c r="H147" s="17" t="str">
        <f aca="false">IF(G147="","",SUMIFS($E$2:E147,$G$2:G147,"Win")*Setup!$B$2-SUMIFS($E$2:E147,$G$2:G147,"Loss"))</f>
        <v/>
      </c>
    </row>
    <row r="148" customFormat="false" ht="15" hidden="false" customHeight="false" outlineLevel="0" collapsed="false">
      <c r="A148" s="11"/>
      <c r="B148" s="12"/>
      <c r="C148" s="13"/>
      <c r="D148" s="14"/>
      <c r="E148" s="15" t="str">
        <f aca="false">IF(A148="","",Setup!$B$3)</f>
        <v/>
      </c>
      <c r="F148" s="12"/>
      <c r="G148" s="16" t="str">
        <f aca="false">IF(OR($B148="",$C148="",$F148=""),"",IF($F148=$B148,"Push",IF(OR(AND($C148="Up",$F148&gt;$B148),AND($C148="Down",$F148&lt;$B148)),"Win","Loss")))</f>
        <v/>
      </c>
      <c r="H148" s="17" t="str">
        <f aca="false">IF(G148="","",SUMIFS($E$2:E148,$G$2:G148,"Win")*Setup!$B$2-SUMIFS($E$2:E148,$G$2:G148,"Loss"))</f>
        <v/>
      </c>
    </row>
    <row r="149" customFormat="false" ht="15" hidden="false" customHeight="false" outlineLevel="0" collapsed="false">
      <c r="A149" s="11"/>
      <c r="B149" s="12"/>
      <c r="C149" s="13"/>
      <c r="D149" s="14"/>
      <c r="E149" s="15" t="str">
        <f aca="false">IF(A149="","",Setup!$B$3)</f>
        <v/>
      </c>
      <c r="F149" s="12"/>
      <c r="G149" s="16" t="str">
        <f aca="false">IF(OR($B149="",$C149="",$F149=""),"",IF($F149=$B149,"Push",IF(OR(AND($C149="Up",$F149&gt;$B149),AND($C149="Down",$F149&lt;$B149)),"Win","Loss")))</f>
        <v/>
      </c>
      <c r="H149" s="17" t="str">
        <f aca="false">IF(G149="","",SUMIFS($E$2:E149,$G$2:G149,"Win")*Setup!$B$2-SUMIFS($E$2:E149,$G$2:G149,"Loss"))</f>
        <v/>
      </c>
    </row>
    <row r="150" customFormat="false" ht="15" hidden="false" customHeight="false" outlineLevel="0" collapsed="false">
      <c r="A150" s="11"/>
      <c r="B150" s="12"/>
      <c r="C150" s="13"/>
      <c r="D150" s="14"/>
      <c r="E150" s="15" t="str">
        <f aca="false">IF(A150="","",Setup!$B$3)</f>
        <v/>
      </c>
      <c r="F150" s="12"/>
      <c r="G150" s="16" t="str">
        <f aca="false">IF(OR($B150="",$C150="",$F150=""),"",IF($F150=$B150,"Push",IF(OR(AND($C150="Up",$F150&gt;$B150),AND($C150="Down",$F150&lt;$B150)),"Win","Loss")))</f>
        <v/>
      </c>
      <c r="H150" s="17" t="str">
        <f aca="false">IF(G150="","",SUMIFS($E$2:E150,$G$2:G150,"Win")*Setup!$B$2-SUMIFS($E$2:E150,$G$2:G150,"Loss"))</f>
        <v/>
      </c>
    </row>
    <row r="151" customFormat="false" ht="15" hidden="false" customHeight="false" outlineLevel="0" collapsed="false">
      <c r="A151" s="11"/>
      <c r="B151" s="12"/>
      <c r="C151" s="13"/>
      <c r="D151" s="14"/>
      <c r="E151" s="15" t="str">
        <f aca="false">IF(A151="","",Setup!$B$3)</f>
        <v/>
      </c>
      <c r="F151" s="12"/>
      <c r="G151" s="16" t="str">
        <f aca="false">IF(OR($B151="",$C151="",$F151=""),"",IF($F151=$B151,"Push",IF(OR(AND($C151="Up",$F151&gt;$B151),AND($C151="Down",$F151&lt;$B151)),"Win","Loss")))</f>
        <v/>
      </c>
      <c r="H151" s="17" t="str">
        <f aca="false">IF(G151="","",SUMIFS($E$2:E151,$G$2:G151,"Win")*Setup!$B$2-SUMIFS($E$2:E151,$G$2:G151,"Loss"))</f>
        <v/>
      </c>
    </row>
    <row r="152" customFormat="false" ht="15" hidden="false" customHeight="false" outlineLevel="0" collapsed="false">
      <c r="A152" s="11"/>
      <c r="B152" s="12"/>
      <c r="C152" s="13"/>
      <c r="D152" s="14"/>
      <c r="E152" s="15" t="str">
        <f aca="false">IF(A152="","",Setup!$B$3)</f>
        <v/>
      </c>
      <c r="F152" s="12"/>
      <c r="G152" s="16" t="str">
        <f aca="false">IF(OR($B152="",$C152="",$F152=""),"",IF($F152=$B152,"Push",IF(OR(AND($C152="Up",$F152&gt;$B152),AND($C152="Down",$F152&lt;$B152)),"Win","Loss")))</f>
        <v/>
      </c>
      <c r="H152" s="17" t="str">
        <f aca="false">IF(G152="","",SUMIFS($E$2:E152,$G$2:G152,"Win")*Setup!$B$2-SUMIFS($E$2:E152,$G$2:G152,"Loss"))</f>
        <v/>
      </c>
    </row>
    <row r="153" customFormat="false" ht="15" hidden="false" customHeight="false" outlineLevel="0" collapsed="false">
      <c r="A153" s="11"/>
      <c r="B153" s="12"/>
      <c r="C153" s="13"/>
      <c r="D153" s="14"/>
      <c r="E153" s="15" t="str">
        <f aca="false">IF(A153="","",Setup!$B$3)</f>
        <v/>
      </c>
      <c r="F153" s="12"/>
      <c r="G153" s="16" t="str">
        <f aca="false">IF(OR($B153="",$C153="",$F153=""),"",IF($F153=$B153,"Push",IF(OR(AND($C153="Up",$F153&gt;$B153),AND($C153="Down",$F153&lt;$B153)),"Win","Loss")))</f>
        <v/>
      </c>
      <c r="H153" s="17" t="str">
        <f aca="false">IF(G153="","",SUMIFS($E$2:E153,$G$2:G153,"Win")*Setup!$B$2-SUMIFS($E$2:E153,$G$2:G153,"Loss"))</f>
        <v/>
      </c>
    </row>
    <row r="154" customFormat="false" ht="15" hidden="false" customHeight="false" outlineLevel="0" collapsed="false">
      <c r="A154" s="11"/>
      <c r="B154" s="12"/>
      <c r="C154" s="13"/>
      <c r="D154" s="14"/>
      <c r="E154" s="15" t="str">
        <f aca="false">IF(A154="","",Setup!$B$3)</f>
        <v/>
      </c>
      <c r="F154" s="12"/>
      <c r="G154" s="16" t="str">
        <f aca="false">IF(OR($B154="",$C154="",$F154=""),"",IF($F154=$B154,"Push",IF(OR(AND($C154="Up",$F154&gt;$B154),AND($C154="Down",$F154&lt;$B154)),"Win","Loss")))</f>
        <v/>
      </c>
      <c r="H154" s="17" t="str">
        <f aca="false">IF(G154="","",SUMIFS($E$2:E154,$G$2:G154,"Win")*Setup!$B$2-SUMIFS($E$2:E154,$G$2:G154,"Loss"))</f>
        <v/>
      </c>
    </row>
    <row r="155" customFormat="false" ht="15" hidden="false" customHeight="false" outlineLevel="0" collapsed="false">
      <c r="A155" s="11"/>
      <c r="B155" s="12"/>
      <c r="C155" s="13"/>
      <c r="D155" s="14"/>
      <c r="E155" s="15" t="str">
        <f aca="false">IF(A155="","",Setup!$B$3)</f>
        <v/>
      </c>
      <c r="F155" s="12"/>
      <c r="G155" s="16" t="str">
        <f aca="false">IF(OR($B155="",$C155="",$F155=""),"",IF($F155=$B155,"Push",IF(OR(AND($C155="Up",$F155&gt;$B155),AND($C155="Down",$F155&lt;$B155)),"Win","Loss")))</f>
        <v/>
      </c>
      <c r="H155" s="17" t="str">
        <f aca="false">IF(G155="","",SUMIFS($E$2:E155,$G$2:G155,"Win")*Setup!$B$2-SUMIFS($E$2:E155,$G$2:G155,"Loss"))</f>
        <v/>
      </c>
    </row>
    <row r="156" customFormat="false" ht="15" hidden="false" customHeight="false" outlineLevel="0" collapsed="false">
      <c r="A156" s="11"/>
      <c r="B156" s="12"/>
      <c r="C156" s="13"/>
      <c r="D156" s="14"/>
      <c r="E156" s="15" t="str">
        <f aca="false">IF(A156="","",Setup!$B$3)</f>
        <v/>
      </c>
      <c r="F156" s="12"/>
      <c r="G156" s="16" t="str">
        <f aca="false">IF(OR($B156="",$C156="",$F156=""),"",IF($F156=$B156,"Push",IF(OR(AND($C156="Up",$F156&gt;$B156),AND($C156="Down",$F156&lt;$B156)),"Win","Loss")))</f>
        <v/>
      </c>
      <c r="H156" s="17" t="str">
        <f aca="false">IF(G156="","",SUMIFS($E$2:E156,$G$2:G156,"Win")*Setup!$B$2-SUMIFS($E$2:E156,$G$2:G156,"Loss"))</f>
        <v/>
      </c>
    </row>
    <row r="157" customFormat="false" ht="15" hidden="false" customHeight="false" outlineLevel="0" collapsed="false">
      <c r="A157" s="11"/>
      <c r="B157" s="12"/>
      <c r="C157" s="13"/>
      <c r="D157" s="14"/>
      <c r="E157" s="15" t="str">
        <f aca="false">IF(A157="","",Setup!$B$3)</f>
        <v/>
      </c>
      <c r="F157" s="12"/>
      <c r="G157" s="16" t="str">
        <f aca="false">IF(OR($B157="",$C157="",$F157=""),"",IF($F157=$B157,"Push",IF(OR(AND($C157="Up",$F157&gt;$B157),AND($C157="Down",$F157&lt;$B157)),"Win","Loss")))</f>
        <v/>
      </c>
      <c r="H157" s="17" t="str">
        <f aca="false">IF(G157="","",SUMIFS($E$2:E157,$G$2:G157,"Win")*Setup!$B$2-SUMIFS($E$2:E157,$G$2:G157,"Loss"))</f>
        <v/>
      </c>
    </row>
    <row r="158" customFormat="false" ht="15" hidden="false" customHeight="false" outlineLevel="0" collapsed="false">
      <c r="A158" s="11"/>
      <c r="B158" s="12"/>
      <c r="C158" s="13"/>
      <c r="D158" s="14"/>
      <c r="E158" s="15" t="str">
        <f aca="false">IF(A158="","",Setup!$B$3)</f>
        <v/>
      </c>
      <c r="F158" s="12"/>
      <c r="G158" s="16" t="str">
        <f aca="false">IF(OR($B158="",$C158="",$F158=""),"",IF($F158=$B158,"Push",IF(OR(AND($C158="Up",$F158&gt;$B158),AND($C158="Down",$F158&lt;$B158)),"Win","Loss")))</f>
        <v/>
      </c>
      <c r="H158" s="17" t="str">
        <f aca="false">IF(G158="","",SUMIFS($E$2:E158,$G$2:G158,"Win")*Setup!$B$2-SUMIFS($E$2:E158,$G$2:G158,"Loss"))</f>
        <v/>
      </c>
    </row>
    <row r="159" customFormat="false" ht="15" hidden="false" customHeight="false" outlineLevel="0" collapsed="false">
      <c r="A159" s="11"/>
      <c r="B159" s="12"/>
      <c r="C159" s="13"/>
      <c r="D159" s="14"/>
      <c r="E159" s="15" t="str">
        <f aca="false">IF(A159="","",Setup!$B$3)</f>
        <v/>
      </c>
      <c r="F159" s="12"/>
      <c r="G159" s="16" t="str">
        <f aca="false">IF(OR($B159="",$C159="",$F159=""),"",IF($F159=$B159,"Push",IF(OR(AND($C159="Up",$F159&gt;$B159),AND($C159="Down",$F159&lt;$B159)),"Win","Loss")))</f>
        <v/>
      </c>
      <c r="H159" s="17" t="str">
        <f aca="false">IF(G159="","",SUMIFS($E$2:E159,$G$2:G159,"Win")*Setup!$B$2-SUMIFS($E$2:E159,$G$2:G159,"Loss"))</f>
        <v/>
      </c>
    </row>
    <row r="160" customFormat="false" ht="15" hidden="false" customHeight="false" outlineLevel="0" collapsed="false">
      <c r="A160" s="11"/>
      <c r="B160" s="12"/>
      <c r="C160" s="13"/>
      <c r="D160" s="14"/>
      <c r="E160" s="15" t="str">
        <f aca="false">IF(A160="","",Setup!$B$3)</f>
        <v/>
      </c>
      <c r="F160" s="12"/>
      <c r="G160" s="16" t="str">
        <f aca="false">IF(OR($B160="",$C160="",$F160=""),"",IF($F160=$B160,"Push",IF(OR(AND($C160="Up",$F160&gt;$B160),AND($C160="Down",$F160&lt;$B160)),"Win","Loss")))</f>
        <v/>
      </c>
      <c r="H160" s="17" t="str">
        <f aca="false">IF(G160="","",SUMIFS($E$2:E160,$G$2:G160,"Win")*Setup!$B$2-SUMIFS($E$2:E160,$G$2:G160,"Loss"))</f>
        <v/>
      </c>
    </row>
    <row r="161" customFormat="false" ht="15" hidden="false" customHeight="false" outlineLevel="0" collapsed="false">
      <c r="A161" s="11"/>
      <c r="B161" s="12"/>
      <c r="C161" s="13"/>
      <c r="D161" s="14"/>
      <c r="E161" s="15" t="str">
        <f aca="false">IF(A161="","",Setup!$B$3)</f>
        <v/>
      </c>
      <c r="F161" s="12"/>
      <c r="G161" s="16" t="str">
        <f aca="false">IF(OR($B161="",$C161="",$F161=""),"",IF($F161=$B161,"Push",IF(OR(AND($C161="Up",$F161&gt;$B161),AND($C161="Down",$F161&lt;$B161)),"Win","Loss")))</f>
        <v/>
      </c>
      <c r="H161" s="17" t="str">
        <f aca="false">IF(G161="","",SUMIFS($E$2:E161,$G$2:G161,"Win")*Setup!$B$2-SUMIFS($E$2:E161,$G$2:G161,"Loss"))</f>
        <v/>
      </c>
    </row>
    <row r="162" customFormat="false" ht="15" hidden="false" customHeight="false" outlineLevel="0" collapsed="false">
      <c r="A162" s="11"/>
      <c r="B162" s="12"/>
      <c r="C162" s="13"/>
      <c r="D162" s="14"/>
      <c r="E162" s="15" t="str">
        <f aca="false">IF(A162="","",Setup!$B$3)</f>
        <v/>
      </c>
      <c r="F162" s="12"/>
      <c r="G162" s="16" t="str">
        <f aca="false">IF(OR($B162="",$C162="",$F162=""),"",IF($F162=$B162,"Push",IF(OR(AND($C162="Up",$F162&gt;$B162),AND($C162="Down",$F162&lt;$B162)),"Win","Loss")))</f>
        <v/>
      </c>
      <c r="H162" s="17" t="str">
        <f aca="false">IF(G162="","",SUMIFS($E$2:E162,$G$2:G162,"Win")*Setup!$B$2-SUMIFS($E$2:E162,$G$2:G162,"Loss"))</f>
        <v/>
      </c>
    </row>
    <row r="163" customFormat="false" ht="15" hidden="false" customHeight="false" outlineLevel="0" collapsed="false">
      <c r="A163" s="11"/>
      <c r="B163" s="12"/>
      <c r="C163" s="13"/>
      <c r="D163" s="14"/>
      <c r="E163" s="15" t="str">
        <f aca="false">IF(A163="","",Setup!$B$3)</f>
        <v/>
      </c>
      <c r="F163" s="12"/>
      <c r="G163" s="16" t="str">
        <f aca="false">IF(OR($B163="",$C163="",$F163=""),"",IF($F163=$B163,"Push",IF(OR(AND($C163="Up",$F163&gt;$B163),AND($C163="Down",$F163&lt;$B163)),"Win","Loss")))</f>
        <v/>
      </c>
      <c r="H163" s="17" t="str">
        <f aca="false">IF(G163="","",SUMIFS($E$2:E163,$G$2:G163,"Win")*Setup!$B$2-SUMIFS($E$2:E163,$G$2:G163,"Loss"))</f>
        <v/>
      </c>
    </row>
    <row r="164" customFormat="false" ht="15" hidden="false" customHeight="false" outlineLevel="0" collapsed="false">
      <c r="A164" s="11"/>
      <c r="B164" s="12"/>
      <c r="C164" s="13"/>
      <c r="D164" s="14"/>
      <c r="E164" s="15" t="str">
        <f aca="false">IF(A164="","",Setup!$B$3)</f>
        <v/>
      </c>
      <c r="F164" s="12"/>
      <c r="G164" s="16" t="str">
        <f aca="false">IF(OR($B164="",$C164="",$F164=""),"",IF($F164=$B164,"Push",IF(OR(AND($C164="Up",$F164&gt;$B164),AND($C164="Down",$F164&lt;$B164)),"Win","Loss")))</f>
        <v/>
      </c>
      <c r="H164" s="17" t="str">
        <f aca="false">IF(G164="","",SUMIFS($E$2:E164,$G$2:G164,"Win")*Setup!$B$2-SUMIFS($E$2:E164,$G$2:G164,"Loss"))</f>
        <v/>
      </c>
    </row>
    <row r="165" customFormat="false" ht="15" hidden="false" customHeight="false" outlineLevel="0" collapsed="false">
      <c r="A165" s="11"/>
      <c r="B165" s="12"/>
      <c r="C165" s="13"/>
      <c r="D165" s="14"/>
      <c r="E165" s="15" t="str">
        <f aca="false">IF(A165="","",Setup!$B$3)</f>
        <v/>
      </c>
      <c r="F165" s="12"/>
      <c r="G165" s="16" t="str">
        <f aca="false">IF(OR($B165="",$C165="",$F165=""),"",IF($F165=$B165,"Push",IF(OR(AND($C165="Up",$F165&gt;$B165),AND($C165="Down",$F165&lt;$B165)),"Win","Loss")))</f>
        <v/>
      </c>
      <c r="H165" s="17" t="str">
        <f aca="false">IF(G165="","",SUMIFS($E$2:E165,$G$2:G165,"Win")*Setup!$B$2-SUMIFS($E$2:E165,$G$2:G165,"Loss"))</f>
        <v/>
      </c>
    </row>
    <row r="166" customFormat="false" ht="15" hidden="false" customHeight="false" outlineLevel="0" collapsed="false">
      <c r="A166" s="11"/>
      <c r="B166" s="12"/>
      <c r="C166" s="13"/>
      <c r="D166" s="14"/>
      <c r="E166" s="15" t="str">
        <f aca="false">IF(A166="","",Setup!$B$3)</f>
        <v/>
      </c>
      <c r="F166" s="12"/>
      <c r="G166" s="16" t="str">
        <f aca="false">IF(OR($B166="",$C166="",$F166=""),"",IF($F166=$B166,"Push",IF(OR(AND($C166="Up",$F166&gt;$B166),AND($C166="Down",$F166&lt;$B166)),"Win","Loss")))</f>
        <v/>
      </c>
      <c r="H166" s="17" t="str">
        <f aca="false">IF(G166="","",SUMIFS($E$2:E166,$G$2:G166,"Win")*Setup!$B$2-SUMIFS($E$2:E166,$G$2:G166,"Loss"))</f>
        <v/>
      </c>
    </row>
    <row r="167" customFormat="false" ht="15" hidden="false" customHeight="false" outlineLevel="0" collapsed="false">
      <c r="A167" s="11"/>
      <c r="B167" s="12"/>
      <c r="C167" s="13"/>
      <c r="D167" s="14"/>
      <c r="E167" s="15" t="str">
        <f aca="false">IF(A167="","",Setup!$B$3)</f>
        <v/>
      </c>
      <c r="F167" s="12"/>
      <c r="G167" s="16" t="str">
        <f aca="false">IF(OR($B167="",$C167="",$F167=""),"",IF($F167=$B167,"Push",IF(OR(AND($C167="Up",$F167&gt;$B167),AND($C167="Down",$F167&lt;$B167)),"Win","Loss")))</f>
        <v/>
      </c>
      <c r="H167" s="17" t="str">
        <f aca="false">IF(G167="","",SUMIFS($E$2:E167,$G$2:G167,"Win")*Setup!$B$2-SUMIFS($E$2:E167,$G$2:G167,"Loss"))</f>
        <v/>
      </c>
    </row>
    <row r="168" customFormat="false" ht="15" hidden="false" customHeight="false" outlineLevel="0" collapsed="false">
      <c r="A168" s="11"/>
      <c r="B168" s="12"/>
      <c r="C168" s="13"/>
      <c r="D168" s="14"/>
      <c r="E168" s="15" t="str">
        <f aca="false">IF(A168="","",Setup!$B$3)</f>
        <v/>
      </c>
      <c r="F168" s="12"/>
      <c r="G168" s="16" t="str">
        <f aca="false">IF(OR($B168="",$C168="",$F168=""),"",IF($F168=$B168,"Push",IF(OR(AND($C168="Up",$F168&gt;$B168),AND($C168="Down",$F168&lt;$B168)),"Win","Loss")))</f>
        <v/>
      </c>
      <c r="H168" s="17" t="str">
        <f aca="false">IF(G168="","",SUMIFS($E$2:E168,$G$2:G168,"Win")*Setup!$B$2-SUMIFS($E$2:E168,$G$2:G168,"Loss"))</f>
        <v/>
      </c>
    </row>
    <row r="169" customFormat="false" ht="15" hidden="false" customHeight="false" outlineLevel="0" collapsed="false">
      <c r="A169" s="11"/>
      <c r="B169" s="12"/>
      <c r="C169" s="13"/>
      <c r="D169" s="14"/>
      <c r="E169" s="15" t="str">
        <f aca="false">IF(A169="","",Setup!$B$3)</f>
        <v/>
      </c>
      <c r="F169" s="12"/>
      <c r="G169" s="16" t="str">
        <f aca="false">IF(OR($B169="",$C169="",$F169=""),"",IF($F169=$B169,"Push",IF(OR(AND($C169="Up",$F169&gt;$B169),AND($C169="Down",$F169&lt;$B169)),"Win","Loss")))</f>
        <v/>
      </c>
      <c r="H169" s="17" t="str">
        <f aca="false">IF(G169="","",SUMIFS($E$2:E169,$G$2:G169,"Win")*Setup!$B$2-SUMIFS($E$2:E169,$G$2:G169,"Loss"))</f>
        <v/>
      </c>
    </row>
    <row r="170" customFormat="false" ht="15" hidden="false" customHeight="false" outlineLevel="0" collapsed="false">
      <c r="A170" s="11"/>
      <c r="B170" s="12"/>
      <c r="C170" s="13"/>
      <c r="D170" s="14"/>
      <c r="E170" s="15" t="str">
        <f aca="false">IF(A170="","",Setup!$B$3)</f>
        <v/>
      </c>
      <c r="F170" s="12"/>
      <c r="G170" s="16" t="str">
        <f aca="false">IF(OR($B170="",$C170="",$F170=""),"",IF($F170=$B170,"Push",IF(OR(AND($C170="Up",$F170&gt;$B170),AND($C170="Down",$F170&lt;$B170)),"Win","Loss")))</f>
        <v/>
      </c>
      <c r="H170" s="17" t="str">
        <f aca="false">IF(G170="","",SUMIFS($E$2:E170,$G$2:G170,"Win")*Setup!$B$2-SUMIFS($E$2:E170,$G$2:G170,"Loss"))</f>
        <v/>
      </c>
    </row>
    <row r="171" customFormat="false" ht="15" hidden="false" customHeight="false" outlineLevel="0" collapsed="false">
      <c r="A171" s="11"/>
      <c r="B171" s="12"/>
      <c r="C171" s="13"/>
      <c r="D171" s="14"/>
      <c r="E171" s="15" t="str">
        <f aca="false">IF(A171="","",Setup!$B$3)</f>
        <v/>
      </c>
      <c r="F171" s="12"/>
      <c r="G171" s="16" t="str">
        <f aca="false">IF(OR($B171="",$C171="",$F171=""),"",IF($F171=$B171,"Push",IF(OR(AND($C171="Up",$F171&gt;$B171),AND($C171="Down",$F171&lt;$B171)),"Win","Loss")))</f>
        <v/>
      </c>
      <c r="H171" s="17" t="str">
        <f aca="false">IF(G171="","",SUMIFS($E$2:E171,$G$2:G171,"Win")*Setup!$B$2-SUMIFS($E$2:E171,$G$2:G171,"Loss"))</f>
        <v/>
      </c>
    </row>
    <row r="172" customFormat="false" ht="15" hidden="false" customHeight="false" outlineLevel="0" collapsed="false">
      <c r="A172" s="11"/>
      <c r="B172" s="12"/>
      <c r="C172" s="13"/>
      <c r="D172" s="14"/>
      <c r="E172" s="15" t="str">
        <f aca="false">IF(A172="","",Setup!$B$3)</f>
        <v/>
      </c>
      <c r="F172" s="12"/>
      <c r="G172" s="16" t="str">
        <f aca="false">IF(OR($B172="",$C172="",$F172=""),"",IF($F172=$B172,"Push",IF(OR(AND($C172="Up",$F172&gt;$B172),AND($C172="Down",$F172&lt;$B172)),"Win","Loss")))</f>
        <v/>
      </c>
      <c r="H172" s="17" t="str">
        <f aca="false">IF(G172="","",SUMIFS($E$2:E172,$G$2:G172,"Win")*Setup!$B$2-SUMIFS($E$2:E172,$G$2:G172,"Loss"))</f>
        <v/>
      </c>
    </row>
    <row r="173" customFormat="false" ht="15" hidden="false" customHeight="false" outlineLevel="0" collapsed="false">
      <c r="A173" s="11"/>
      <c r="B173" s="12"/>
      <c r="C173" s="13"/>
      <c r="D173" s="14"/>
      <c r="E173" s="15" t="str">
        <f aca="false">IF(A173="","",Setup!$B$3)</f>
        <v/>
      </c>
      <c r="F173" s="12"/>
      <c r="G173" s="16" t="str">
        <f aca="false">IF(OR($B173="",$C173="",$F173=""),"",IF($F173=$B173,"Push",IF(OR(AND($C173="Up",$F173&gt;$B173),AND($C173="Down",$F173&lt;$B173)),"Win","Loss")))</f>
        <v/>
      </c>
      <c r="H173" s="17" t="str">
        <f aca="false">IF(G173="","",SUMIFS($E$2:E173,$G$2:G173,"Win")*Setup!$B$2-SUMIFS($E$2:E173,$G$2:G173,"Loss"))</f>
        <v/>
      </c>
    </row>
    <row r="174" customFormat="false" ht="15" hidden="false" customHeight="false" outlineLevel="0" collapsed="false">
      <c r="A174" s="11"/>
      <c r="B174" s="12"/>
      <c r="C174" s="13"/>
      <c r="D174" s="14"/>
      <c r="E174" s="15" t="str">
        <f aca="false">IF(A174="","",Setup!$B$3)</f>
        <v/>
      </c>
      <c r="F174" s="12"/>
      <c r="G174" s="16" t="str">
        <f aca="false">IF(OR($B174="",$C174="",$F174=""),"",IF($F174=$B174,"Push",IF(OR(AND($C174="Up",$F174&gt;$B174),AND($C174="Down",$F174&lt;$B174)),"Win","Loss")))</f>
        <v/>
      </c>
      <c r="H174" s="17" t="str">
        <f aca="false">IF(G174="","",SUMIFS($E$2:E174,$G$2:G174,"Win")*Setup!$B$2-SUMIFS($E$2:E174,$G$2:G174,"Loss"))</f>
        <v/>
      </c>
    </row>
    <row r="175" customFormat="false" ht="15" hidden="false" customHeight="false" outlineLevel="0" collapsed="false">
      <c r="A175" s="11"/>
      <c r="B175" s="12"/>
      <c r="C175" s="13"/>
      <c r="D175" s="14"/>
      <c r="E175" s="15" t="str">
        <f aca="false">IF(A175="","",Setup!$B$3)</f>
        <v/>
      </c>
      <c r="F175" s="12"/>
      <c r="G175" s="16" t="str">
        <f aca="false">IF(OR($B175="",$C175="",$F175=""),"",IF($F175=$B175,"Push",IF(OR(AND($C175="Up",$F175&gt;$B175),AND($C175="Down",$F175&lt;$B175)),"Win","Loss")))</f>
        <v/>
      </c>
      <c r="H175" s="17" t="str">
        <f aca="false">IF(G175="","",SUMIFS($E$2:E175,$G$2:G175,"Win")*Setup!$B$2-SUMIFS($E$2:E175,$G$2:G175,"Loss"))</f>
        <v/>
      </c>
    </row>
    <row r="176" customFormat="false" ht="15" hidden="false" customHeight="false" outlineLevel="0" collapsed="false">
      <c r="A176" s="11"/>
      <c r="B176" s="12"/>
      <c r="C176" s="13"/>
      <c r="D176" s="14"/>
      <c r="E176" s="15" t="str">
        <f aca="false">IF(A176="","",Setup!$B$3)</f>
        <v/>
      </c>
      <c r="F176" s="12"/>
      <c r="G176" s="16" t="str">
        <f aca="false">IF(OR($B176="",$C176="",$F176=""),"",IF($F176=$B176,"Push",IF(OR(AND($C176="Up",$F176&gt;$B176),AND($C176="Down",$F176&lt;$B176)),"Win","Loss")))</f>
        <v/>
      </c>
      <c r="H176" s="17" t="str">
        <f aca="false">IF(G176="","",SUMIFS($E$2:E176,$G$2:G176,"Win")*Setup!$B$2-SUMIFS($E$2:E176,$G$2:G176,"Loss"))</f>
        <v/>
      </c>
    </row>
    <row r="177" customFormat="false" ht="15" hidden="false" customHeight="false" outlineLevel="0" collapsed="false">
      <c r="A177" s="11"/>
      <c r="B177" s="12"/>
      <c r="C177" s="13"/>
      <c r="D177" s="14"/>
      <c r="E177" s="15" t="str">
        <f aca="false">IF(A177="","",Setup!$B$3)</f>
        <v/>
      </c>
      <c r="F177" s="12"/>
      <c r="G177" s="16" t="str">
        <f aca="false">IF(OR($B177="",$C177="",$F177=""),"",IF($F177=$B177,"Push",IF(OR(AND($C177="Up",$F177&gt;$B177),AND($C177="Down",$F177&lt;$B177)),"Win","Loss")))</f>
        <v/>
      </c>
      <c r="H177" s="17" t="str">
        <f aca="false">IF(G177="","",SUMIFS($E$2:E177,$G$2:G177,"Win")*Setup!$B$2-SUMIFS($E$2:E177,$G$2:G177,"Loss"))</f>
        <v/>
      </c>
    </row>
    <row r="178" customFormat="false" ht="15" hidden="false" customHeight="false" outlineLevel="0" collapsed="false">
      <c r="A178" s="11"/>
      <c r="B178" s="12"/>
      <c r="C178" s="13"/>
      <c r="D178" s="14"/>
      <c r="E178" s="15" t="str">
        <f aca="false">IF(A178="","",Setup!$B$3)</f>
        <v/>
      </c>
      <c r="F178" s="12"/>
      <c r="G178" s="16" t="str">
        <f aca="false">IF(OR($B178="",$C178="",$F178=""),"",IF($F178=$B178,"Push",IF(OR(AND($C178="Up",$F178&gt;$B178),AND($C178="Down",$F178&lt;$B178)),"Win","Loss")))</f>
        <v/>
      </c>
      <c r="H178" s="17" t="str">
        <f aca="false">IF(G178="","",SUMIFS($E$2:E178,$G$2:G178,"Win")*Setup!$B$2-SUMIFS($E$2:E178,$G$2:G178,"Loss"))</f>
        <v/>
      </c>
    </row>
    <row r="179" customFormat="false" ht="15" hidden="false" customHeight="false" outlineLevel="0" collapsed="false">
      <c r="A179" s="11"/>
      <c r="B179" s="12"/>
      <c r="C179" s="13"/>
      <c r="D179" s="14"/>
      <c r="E179" s="15" t="str">
        <f aca="false">IF(A179="","",Setup!$B$3)</f>
        <v/>
      </c>
      <c r="F179" s="12"/>
      <c r="G179" s="16" t="str">
        <f aca="false">IF(OR($B179="",$C179="",$F179=""),"",IF($F179=$B179,"Push",IF(OR(AND($C179="Up",$F179&gt;$B179),AND($C179="Down",$F179&lt;$B179)),"Win","Loss")))</f>
        <v/>
      </c>
      <c r="H179" s="17" t="str">
        <f aca="false">IF(G179="","",SUMIFS($E$2:E179,$G$2:G179,"Win")*Setup!$B$2-SUMIFS($E$2:E179,$G$2:G179,"Loss"))</f>
        <v/>
      </c>
    </row>
    <row r="180" customFormat="false" ht="15" hidden="false" customHeight="false" outlineLevel="0" collapsed="false">
      <c r="A180" s="11"/>
      <c r="B180" s="12"/>
      <c r="C180" s="13"/>
      <c r="D180" s="14"/>
      <c r="E180" s="15" t="str">
        <f aca="false">IF(A180="","",Setup!$B$3)</f>
        <v/>
      </c>
      <c r="F180" s="12"/>
      <c r="G180" s="16" t="str">
        <f aca="false">IF(OR($B180="",$C180="",$F180=""),"",IF($F180=$B180,"Push",IF(OR(AND($C180="Up",$F180&gt;$B180),AND($C180="Down",$F180&lt;$B180)),"Win","Loss")))</f>
        <v/>
      </c>
      <c r="H180" s="17" t="str">
        <f aca="false">IF(G180="","",SUMIFS($E$2:E180,$G$2:G180,"Win")*Setup!$B$2-SUMIFS($E$2:E180,$G$2:G180,"Loss"))</f>
        <v/>
      </c>
    </row>
    <row r="181" customFormat="false" ht="15" hidden="false" customHeight="false" outlineLevel="0" collapsed="false">
      <c r="A181" s="11"/>
      <c r="B181" s="12"/>
      <c r="C181" s="13"/>
      <c r="D181" s="14"/>
      <c r="E181" s="15" t="str">
        <f aca="false">IF(A181="","",Setup!$B$3)</f>
        <v/>
      </c>
      <c r="F181" s="12"/>
      <c r="G181" s="16" t="str">
        <f aca="false">IF(OR($B181="",$C181="",$F181=""),"",IF($F181=$B181,"Push",IF(OR(AND($C181="Up",$F181&gt;$B181),AND($C181="Down",$F181&lt;$B181)),"Win","Loss")))</f>
        <v/>
      </c>
      <c r="H181" s="17" t="str">
        <f aca="false">IF(G181="","",SUMIFS($E$2:E181,$G$2:G181,"Win")*Setup!$B$2-SUMIFS($E$2:E181,$G$2:G181,"Loss"))</f>
        <v/>
      </c>
    </row>
    <row r="182" customFormat="false" ht="15" hidden="false" customHeight="false" outlineLevel="0" collapsed="false">
      <c r="A182" s="11"/>
      <c r="B182" s="12"/>
      <c r="C182" s="13"/>
      <c r="D182" s="14"/>
      <c r="E182" s="15" t="str">
        <f aca="false">IF(A182="","",Setup!$B$3)</f>
        <v/>
      </c>
      <c r="F182" s="12"/>
      <c r="G182" s="16" t="str">
        <f aca="false">IF(OR($B182="",$C182="",$F182=""),"",IF($F182=$B182,"Push",IF(OR(AND($C182="Up",$F182&gt;$B182),AND($C182="Down",$F182&lt;$B182)),"Win","Loss")))</f>
        <v/>
      </c>
      <c r="H182" s="17" t="str">
        <f aca="false">IF(G182="","",SUMIFS($E$2:E182,$G$2:G182,"Win")*Setup!$B$2-SUMIFS($E$2:E182,$G$2:G182,"Loss"))</f>
        <v/>
      </c>
    </row>
    <row r="183" customFormat="false" ht="15" hidden="false" customHeight="false" outlineLevel="0" collapsed="false">
      <c r="A183" s="11"/>
      <c r="B183" s="12"/>
      <c r="C183" s="13"/>
      <c r="D183" s="14"/>
      <c r="E183" s="15" t="str">
        <f aca="false">IF(A183="","",Setup!$B$3)</f>
        <v/>
      </c>
      <c r="F183" s="12"/>
      <c r="G183" s="16" t="str">
        <f aca="false">IF(OR($B183="",$C183="",$F183=""),"",IF($F183=$B183,"Push",IF(OR(AND($C183="Up",$F183&gt;$B183),AND($C183="Down",$F183&lt;$B183)),"Win","Loss")))</f>
        <v/>
      </c>
      <c r="H183" s="17" t="str">
        <f aca="false">IF(G183="","",SUMIFS($E$2:E183,$G$2:G183,"Win")*Setup!$B$2-SUMIFS($E$2:E183,$G$2:G183,"Loss"))</f>
        <v/>
      </c>
    </row>
    <row r="184" customFormat="false" ht="15" hidden="false" customHeight="false" outlineLevel="0" collapsed="false">
      <c r="A184" s="11"/>
      <c r="B184" s="12"/>
      <c r="C184" s="13"/>
      <c r="D184" s="14"/>
      <c r="E184" s="15" t="str">
        <f aca="false">IF(A184="","",Setup!$B$3)</f>
        <v/>
      </c>
      <c r="F184" s="12"/>
      <c r="G184" s="16" t="str">
        <f aca="false">IF(OR($B184="",$C184="",$F184=""),"",IF($F184=$B184,"Push",IF(OR(AND($C184="Up",$F184&gt;$B184),AND($C184="Down",$F184&lt;$B184)),"Win","Loss")))</f>
        <v/>
      </c>
      <c r="H184" s="17" t="str">
        <f aca="false">IF(G184="","",SUMIFS($E$2:E184,$G$2:G184,"Win")*Setup!$B$2-SUMIFS($E$2:E184,$G$2:G184,"Loss"))</f>
        <v/>
      </c>
    </row>
    <row r="185" customFormat="false" ht="15" hidden="false" customHeight="false" outlineLevel="0" collapsed="false">
      <c r="A185" s="11"/>
      <c r="B185" s="12"/>
      <c r="C185" s="13"/>
      <c r="D185" s="14"/>
      <c r="E185" s="15" t="str">
        <f aca="false">IF(A185="","",Setup!$B$3)</f>
        <v/>
      </c>
      <c r="F185" s="12"/>
      <c r="G185" s="16" t="str">
        <f aca="false">IF(OR($B185="",$C185="",$F185=""),"",IF($F185=$B185,"Push",IF(OR(AND($C185="Up",$F185&gt;$B185),AND($C185="Down",$F185&lt;$B185)),"Win","Loss")))</f>
        <v/>
      </c>
      <c r="H185" s="17" t="str">
        <f aca="false">IF(G185="","",SUMIFS($E$2:E185,$G$2:G185,"Win")*Setup!$B$2-SUMIFS($E$2:E185,$G$2:G185,"Loss"))</f>
        <v/>
      </c>
    </row>
    <row r="186" customFormat="false" ht="15" hidden="false" customHeight="false" outlineLevel="0" collapsed="false">
      <c r="A186" s="11"/>
      <c r="B186" s="12"/>
      <c r="C186" s="13"/>
      <c r="D186" s="14"/>
      <c r="E186" s="15" t="str">
        <f aca="false">IF(A186="","",Setup!$B$3)</f>
        <v/>
      </c>
      <c r="F186" s="12"/>
      <c r="G186" s="16" t="str">
        <f aca="false">IF(OR($B186="",$C186="",$F186=""),"",IF($F186=$B186,"Push",IF(OR(AND($C186="Up",$F186&gt;$B186),AND($C186="Down",$F186&lt;$B186)),"Win","Loss")))</f>
        <v/>
      </c>
      <c r="H186" s="17" t="str">
        <f aca="false">IF(G186="","",SUMIFS($E$2:E186,$G$2:G186,"Win")*Setup!$B$2-SUMIFS($E$2:E186,$G$2:G186,"Loss"))</f>
        <v/>
      </c>
    </row>
    <row r="187" customFormat="false" ht="15" hidden="false" customHeight="false" outlineLevel="0" collapsed="false">
      <c r="A187" s="11"/>
      <c r="B187" s="12"/>
      <c r="C187" s="13"/>
      <c r="D187" s="14"/>
      <c r="E187" s="15" t="str">
        <f aca="false">IF(A187="","",Setup!$B$3)</f>
        <v/>
      </c>
      <c r="F187" s="12"/>
      <c r="G187" s="16" t="str">
        <f aca="false">IF(OR($B187="",$C187="",$F187=""),"",IF($F187=$B187,"Push",IF(OR(AND($C187="Up",$F187&gt;$B187),AND($C187="Down",$F187&lt;$B187)),"Win","Loss")))</f>
        <v/>
      </c>
      <c r="H187" s="17" t="str">
        <f aca="false">IF(G187="","",SUMIFS($E$2:E187,$G$2:G187,"Win")*Setup!$B$2-SUMIFS($E$2:E187,$G$2:G187,"Loss"))</f>
        <v/>
      </c>
    </row>
    <row r="188" customFormat="false" ht="15" hidden="false" customHeight="false" outlineLevel="0" collapsed="false">
      <c r="A188" s="11"/>
      <c r="B188" s="12"/>
      <c r="C188" s="13"/>
      <c r="D188" s="14"/>
      <c r="E188" s="15" t="str">
        <f aca="false">IF(A188="","",Setup!$B$3)</f>
        <v/>
      </c>
      <c r="F188" s="12"/>
      <c r="G188" s="16" t="str">
        <f aca="false">IF(OR($B188="",$C188="",$F188=""),"",IF($F188=$B188,"Push",IF(OR(AND($C188="Up",$F188&gt;$B188),AND($C188="Down",$F188&lt;$B188)),"Win","Loss")))</f>
        <v/>
      </c>
      <c r="H188" s="17" t="str">
        <f aca="false">IF(G188="","",SUMIFS($E$2:E188,$G$2:G188,"Win")*Setup!$B$2-SUMIFS($E$2:E188,$G$2:G188,"Loss"))</f>
        <v/>
      </c>
    </row>
    <row r="189" customFormat="false" ht="15" hidden="false" customHeight="false" outlineLevel="0" collapsed="false">
      <c r="A189" s="11"/>
      <c r="B189" s="12"/>
      <c r="C189" s="13"/>
      <c r="D189" s="14"/>
      <c r="E189" s="15" t="str">
        <f aca="false">IF(A189="","",Setup!$B$3)</f>
        <v/>
      </c>
      <c r="F189" s="12"/>
      <c r="G189" s="16" t="str">
        <f aca="false">IF(OR($B189="",$C189="",$F189=""),"",IF($F189=$B189,"Push",IF(OR(AND($C189="Up",$F189&gt;$B189),AND($C189="Down",$F189&lt;$B189)),"Win","Loss")))</f>
        <v/>
      </c>
      <c r="H189" s="17" t="str">
        <f aca="false">IF(G189="","",SUMIFS($E$2:E189,$G$2:G189,"Win")*Setup!$B$2-SUMIFS($E$2:E189,$G$2:G189,"Loss"))</f>
        <v/>
      </c>
    </row>
    <row r="190" customFormat="false" ht="15" hidden="false" customHeight="false" outlineLevel="0" collapsed="false">
      <c r="A190" s="11"/>
      <c r="B190" s="12"/>
      <c r="C190" s="13"/>
      <c r="D190" s="14"/>
      <c r="E190" s="15" t="str">
        <f aca="false">IF(A190="","",Setup!$B$3)</f>
        <v/>
      </c>
      <c r="F190" s="12"/>
      <c r="G190" s="16" t="str">
        <f aca="false">IF(OR($B190="",$C190="",$F190=""),"",IF($F190=$B190,"Push",IF(OR(AND($C190="Up",$F190&gt;$B190),AND($C190="Down",$F190&lt;$B190)),"Win","Loss")))</f>
        <v/>
      </c>
      <c r="H190" s="17" t="str">
        <f aca="false">IF(G190="","",SUMIFS($E$2:E190,$G$2:G190,"Win")*Setup!$B$2-SUMIFS($E$2:E190,$G$2:G190,"Loss"))</f>
        <v/>
      </c>
    </row>
    <row r="191" customFormat="false" ht="15" hidden="false" customHeight="false" outlineLevel="0" collapsed="false">
      <c r="A191" s="11"/>
      <c r="B191" s="12"/>
      <c r="C191" s="13"/>
      <c r="D191" s="14"/>
      <c r="E191" s="15" t="str">
        <f aca="false">IF(A191="","",Setup!$B$3)</f>
        <v/>
      </c>
      <c r="F191" s="12"/>
      <c r="G191" s="16" t="str">
        <f aca="false">IF(OR($B191="",$C191="",$F191=""),"",IF($F191=$B191,"Push",IF(OR(AND($C191="Up",$F191&gt;$B191),AND($C191="Down",$F191&lt;$B191)),"Win","Loss")))</f>
        <v/>
      </c>
      <c r="H191" s="17" t="str">
        <f aca="false">IF(G191="","",SUMIFS($E$2:E191,$G$2:G191,"Win")*Setup!$B$2-SUMIFS($E$2:E191,$G$2:G191,"Loss"))</f>
        <v/>
      </c>
    </row>
    <row r="192" customFormat="false" ht="15" hidden="false" customHeight="false" outlineLevel="0" collapsed="false">
      <c r="A192" s="11"/>
      <c r="B192" s="12"/>
      <c r="C192" s="13"/>
      <c r="D192" s="14"/>
      <c r="E192" s="15" t="str">
        <f aca="false">IF(A192="","",Setup!$B$3)</f>
        <v/>
      </c>
      <c r="F192" s="12"/>
      <c r="G192" s="16" t="str">
        <f aca="false">IF(OR($B192="",$C192="",$F192=""),"",IF($F192=$B192,"Push",IF(OR(AND($C192="Up",$F192&gt;$B192),AND($C192="Down",$F192&lt;$B192)),"Win","Loss")))</f>
        <v/>
      </c>
      <c r="H192" s="17" t="str">
        <f aca="false">IF(G192="","",SUMIFS($E$2:E192,$G$2:G192,"Win")*Setup!$B$2-SUMIFS($E$2:E192,$G$2:G192,"Loss"))</f>
        <v/>
      </c>
    </row>
    <row r="193" customFormat="false" ht="15" hidden="false" customHeight="false" outlineLevel="0" collapsed="false">
      <c r="A193" s="11"/>
      <c r="B193" s="12"/>
      <c r="C193" s="13"/>
      <c r="D193" s="14"/>
      <c r="E193" s="15" t="str">
        <f aca="false">IF(A193="","",Setup!$B$3)</f>
        <v/>
      </c>
      <c r="F193" s="12"/>
      <c r="G193" s="16" t="str">
        <f aca="false">IF(OR($B193="",$C193="",$F193=""),"",IF($F193=$B193,"Push",IF(OR(AND($C193="Up",$F193&gt;$B193),AND($C193="Down",$F193&lt;$B193)),"Win","Loss")))</f>
        <v/>
      </c>
      <c r="H193" s="17" t="str">
        <f aca="false">IF(G193="","",SUMIFS($E$2:E193,$G$2:G193,"Win")*Setup!$B$2-SUMIFS($E$2:E193,$G$2:G193,"Loss"))</f>
        <v/>
      </c>
    </row>
    <row r="194" customFormat="false" ht="15" hidden="false" customHeight="false" outlineLevel="0" collapsed="false">
      <c r="A194" s="11"/>
      <c r="B194" s="12"/>
      <c r="C194" s="13"/>
      <c r="D194" s="14"/>
      <c r="E194" s="15" t="str">
        <f aca="false">IF(A194="","",Setup!$B$3)</f>
        <v/>
      </c>
      <c r="F194" s="12"/>
      <c r="G194" s="16" t="str">
        <f aca="false">IF(OR($B194="",$C194="",$F194=""),"",IF($F194=$B194,"Push",IF(OR(AND($C194="Up",$F194&gt;$B194),AND($C194="Down",$F194&lt;$B194)),"Win","Loss")))</f>
        <v/>
      </c>
      <c r="H194" s="17" t="str">
        <f aca="false">IF(G194="","",SUMIFS($E$2:E194,$G$2:G194,"Win")*Setup!$B$2-SUMIFS($E$2:E194,$G$2:G194,"Loss"))</f>
        <v/>
      </c>
    </row>
    <row r="195" customFormat="false" ht="15" hidden="false" customHeight="false" outlineLevel="0" collapsed="false">
      <c r="A195" s="11"/>
      <c r="B195" s="12"/>
      <c r="C195" s="13"/>
      <c r="D195" s="14"/>
      <c r="E195" s="15" t="str">
        <f aca="false">IF(A195="","",Setup!$B$3)</f>
        <v/>
      </c>
      <c r="F195" s="12"/>
      <c r="G195" s="16" t="str">
        <f aca="false">IF(OR($B195="",$C195="",$F195=""),"",IF($F195=$B195,"Push",IF(OR(AND($C195="Up",$F195&gt;$B195),AND($C195="Down",$F195&lt;$B195)),"Win","Loss")))</f>
        <v/>
      </c>
      <c r="H195" s="17" t="str">
        <f aca="false">IF(G195="","",SUMIFS($E$2:E195,$G$2:G195,"Win")*Setup!$B$2-SUMIFS($E$2:E195,$G$2:G195,"Loss"))</f>
        <v/>
      </c>
    </row>
    <row r="196" customFormat="false" ht="15" hidden="false" customHeight="false" outlineLevel="0" collapsed="false">
      <c r="A196" s="11"/>
      <c r="B196" s="12"/>
      <c r="C196" s="13"/>
      <c r="D196" s="14"/>
      <c r="E196" s="15" t="str">
        <f aca="false">IF(A196="","",Setup!$B$3)</f>
        <v/>
      </c>
      <c r="F196" s="12"/>
      <c r="G196" s="16" t="str">
        <f aca="false">IF(OR($B196="",$C196="",$F196=""),"",IF($F196=$B196,"Push",IF(OR(AND($C196="Up",$F196&gt;$B196),AND($C196="Down",$F196&lt;$B196)),"Win","Loss")))</f>
        <v/>
      </c>
      <c r="H196" s="17" t="str">
        <f aca="false">IF(G196="","",SUMIFS($E$2:E196,$G$2:G196,"Win")*Setup!$B$2-SUMIFS($E$2:E196,$G$2:G196,"Loss"))</f>
        <v/>
      </c>
    </row>
    <row r="197" customFormat="false" ht="15" hidden="false" customHeight="false" outlineLevel="0" collapsed="false">
      <c r="A197" s="11"/>
      <c r="B197" s="12"/>
      <c r="C197" s="13"/>
      <c r="D197" s="14"/>
      <c r="E197" s="15" t="str">
        <f aca="false">IF(A197="","",Setup!$B$3)</f>
        <v/>
      </c>
      <c r="F197" s="12"/>
      <c r="G197" s="16" t="str">
        <f aca="false">IF(OR($B197="",$C197="",$F197=""),"",IF($F197=$B197,"Push",IF(OR(AND($C197="Up",$F197&gt;$B197),AND($C197="Down",$F197&lt;$B197)),"Win","Loss")))</f>
        <v/>
      </c>
      <c r="H197" s="17" t="str">
        <f aca="false">IF(G197="","",SUMIFS($E$2:E197,$G$2:G197,"Win")*Setup!$B$2-SUMIFS($E$2:E197,$G$2:G197,"Loss"))</f>
        <v/>
      </c>
    </row>
    <row r="198" customFormat="false" ht="15" hidden="false" customHeight="false" outlineLevel="0" collapsed="false">
      <c r="A198" s="11"/>
      <c r="B198" s="12"/>
      <c r="C198" s="13"/>
      <c r="D198" s="14"/>
      <c r="E198" s="15" t="str">
        <f aca="false">IF(A198="","",Setup!$B$3)</f>
        <v/>
      </c>
      <c r="F198" s="12"/>
      <c r="G198" s="16" t="str">
        <f aca="false">IF(OR($B198="",$C198="",$F198=""),"",IF($F198=$B198,"Push",IF(OR(AND($C198="Up",$F198&gt;$B198),AND($C198="Down",$F198&lt;$B198)),"Win","Loss")))</f>
        <v/>
      </c>
      <c r="H198" s="17" t="str">
        <f aca="false">IF(G198="","",SUMIFS($E$2:E198,$G$2:G198,"Win")*Setup!$B$2-SUMIFS($E$2:E198,$G$2:G198,"Loss"))</f>
        <v/>
      </c>
    </row>
    <row r="199" customFormat="false" ht="15" hidden="false" customHeight="false" outlineLevel="0" collapsed="false">
      <c r="A199" s="11"/>
      <c r="B199" s="12"/>
      <c r="C199" s="13"/>
      <c r="D199" s="14"/>
      <c r="E199" s="15" t="str">
        <f aca="false">IF(A199="","",Setup!$B$3)</f>
        <v/>
      </c>
      <c r="F199" s="12"/>
      <c r="G199" s="16" t="str">
        <f aca="false">IF(OR($B199="",$C199="",$F199=""),"",IF($F199=$B199,"Push",IF(OR(AND($C199="Up",$F199&gt;$B199),AND($C199="Down",$F199&lt;$B199)),"Win","Loss")))</f>
        <v/>
      </c>
      <c r="H199" s="17" t="str">
        <f aca="false">IF(G199="","",SUMIFS($E$2:E199,$G$2:G199,"Win")*Setup!$B$2-SUMIFS($E$2:E199,$G$2:G199,"Loss"))</f>
        <v/>
      </c>
    </row>
    <row r="200" customFormat="false" ht="15" hidden="false" customHeight="false" outlineLevel="0" collapsed="false">
      <c r="A200" s="11"/>
      <c r="B200" s="12"/>
      <c r="C200" s="13"/>
      <c r="D200" s="14"/>
      <c r="E200" s="15" t="str">
        <f aca="false">IF(A200="","",Setup!$B$3)</f>
        <v/>
      </c>
      <c r="F200" s="12"/>
      <c r="G200" s="16" t="str">
        <f aca="false">IF(OR($B200="",$C200="",$F200=""),"",IF($F200=$B200,"Push",IF(OR(AND($C200="Up",$F200&gt;$B200),AND($C200="Down",$F200&lt;$B200)),"Win","Loss")))</f>
        <v/>
      </c>
      <c r="H200" s="17" t="str">
        <f aca="false">IF(G200="","",SUMIFS($E$2:E200,$G$2:G200,"Win")*Setup!$B$2-SUMIFS($E$2:E200,$G$2:G200,"Loss"))</f>
        <v/>
      </c>
    </row>
    <row r="201" customFormat="false" ht="15" hidden="false" customHeight="false" outlineLevel="0" collapsed="false">
      <c r="A201" s="11"/>
      <c r="B201" s="12"/>
      <c r="C201" s="13"/>
      <c r="D201" s="14"/>
      <c r="E201" s="15" t="str">
        <f aca="false">IF(A201="","",Setup!$B$3)</f>
        <v/>
      </c>
      <c r="F201" s="12"/>
      <c r="G201" s="16" t="str">
        <f aca="false">IF(OR($B201="",$C201="",$F201=""),"",IF($F201=$B201,"Push",IF(OR(AND($C201="Up",$F201&gt;$B201),AND($C201="Down",$F201&lt;$B201)),"Win","Loss")))</f>
        <v/>
      </c>
      <c r="H201" s="17" t="str">
        <f aca="false">IF(G201="","",SUMIFS($E$2:E201,$G$2:G201,"Win")*Setup!$B$2-SUMIFS($E$2:E201,$G$2:G201,"Loss"))</f>
        <v/>
      </c>
    </row>
  </sheetData>
  <conditionalFormatting sqref="G2:G201">
    <cfRule type="cellIs" priority="2" operator="equal" aboveAverage="0" equalAverage="0" bottom="0" percent="0" rank="0" text="" dxfId="0">
      <formula>"Win"</formula>
    </cfRule>
    <cfRule type="cellIs" priority="3" operator="equal" aboveAverage="0" equalAverage="0" bottom="0" percent="0" rank="0" text="" dxfId="1">
      <formula>"Loss"</formula>
    </cfRule>
    <cfRule type="cellIs" priority="4" operator="equal" aboveAverage="0" equalAverage="0" bottom="0" percent="0" rank="0" text="" dxfId="2">
      <formula>"Push"</formula>
    </cfRule>
  </conditionalFormatting>
  <conditionalFormatting sqref="H2:H201">
    <cfRule type="cellIs" priority="5" operator="lessThan" aboveAverage="0" equalAverage="0" bottom="0" percent="0" rank="0" text="" dxfId="3">
      <formula>0</formula>
    </cfRule>
  </conditionalFormatting>
  <dataValidations count="4">
    <dataValidation allowBlank="true" error="Enter Up or Down (pick from the dropdown)." errorStyle="stop" errorTitle="Prediction" operator="between" showDropDown="false" showErrorMessage="true" showInputMessage="false" sqref="C2:C201" type="list">
      <formula1>"Up,Down"</formula1>
      <formula2>0</formula2>
    </dataValidation>
    <dataValidation allowBlank="true" error="Confidence is stored as a percentage between 50% and 100%. On a two-way Up/Down call, under 50% means you would rather take the other side. Click Yes to keep your value anyway." errorStyle="warning" errorTitle="Confidence" operator="between" showDropDown="false" showErrorMessage="true" showInputMessage="false" sqref="D2:D201" type="decimal">
      <formula1>0.5</formula1>
      <formula2>1</formula2>
    </dataValidation>
    <dataValidation allowBlank="true" error="Enter a positive price (digits only - no $ sign or commas needed)." errorStyle="warning" errorTitle="BTC price" operator="greaterThan" showDropDown="false" showErrorMessage="true" showInputMessage="false" sqref="B2:B201" type="decimal">
      <formula1>0</formula1>
      <formula2>0</formula2>
    </dataValidation>
    <dataValidation allowBlank="true" error="Enter a positive price (digits only - no $ sign or commas needed)." errorStyle="warning" errorTitle="BTC price 5 min later" operator="greaterThan" showDropDown="false" showErrorMessage="true" showInputMessage="false" sqref="F2:F2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9" t="s">
        <v>24</v>
      </c>
    </row>
    <row r="2" customFormat="false" ht="15" hidden="false" customHeight="false" outlineLevel="0" collapsed="false">
      <c r="A2" s="20" t="s">
        <v>25</v>
      </c>
      <c r="B2" s="21" t="n">
        <v>1</v>
      </c>
    </row>
    <row r="3" customFormat="false" ht="15" hidden="false" customHeight="false" outlineLevel="0" collapsed="false">
      <c r="A3" s="20" t="s">
        <v>26</v>
      </c>
      <c r="B3" s="22" t="n">
        <v>100</v>
      </c>
    </row>
    <row r="5" customFormat="false" ht="15" hidden="false" customHeight="false" outlineLevel="0" collapsed="false">
      <c r="A5" s="23"/>
    </row>
    <row r="6" customFormat="false" ht="15" hidden="false" customHeight="false" outlineLevel="0" collapsed="false">
      <c r="A6" s="20" t="s">
        <v>27</v>
      </c>
    </row>
    <row r="7" customFormat="false" ht="15" hidden="false" customHeight="false" outlineLevel="0" collapsed="false">
      <c r="A7" s="23" t="s">
        <v>28</v>
      </c>
    </row>
    <row r="8" customFormat="false" ht="15" hidden="false" customHeight="false" outlineLevel="0" collapsed="false">
      <c r="A8" s="23" t="s">
        <v>29</v>
      </c>
    </row>
    <row r="9" customFormat="false" ht="15" hidden="false" customHeight="false" outlineLevel="0" collapsed="false">
      <c r="A9" s="23" t="s">
        <v>30</v>
      </c>
    </row>
    <row r="10" customFormat="false" ht="15" hidden="false" customHeight="false" outlineLevel="0" collapsed="false">
      <c r="A10" s="23" t="s">
        <v>31</v>
      </c>
    </row>
    <row r="11" customFormat="false" ht="15" hidden="false" customHeight="false" outlineLevel="0" collapsed="false">
      <c r="A11" s="23" t="s">
        <v>32</v>
      </c>
    </row>
    <row r="12" customFormat="false" ht="15" hidden="false" customHeight="false" outlineLevel="0" collapsed="false">
      <c r="A12" s="23" t="s">
        <v>33</v>
      </c>
    </row>
    <row r="13" customFormat="false" ht="15" hidden="false" customHeight="false" outlineLevel="0" collapsed="false">
      <c r="A13" s="23" t="s">
        <v>34</v>
      </c>
    </row>
    <row r="14" customFormat="false" ht="15" hidden="false" customHeight="false" outlineLevel="0" collapsed="false">
      <c r="A14" s="23" t="s">
        <v>35</v>
      </c>
    </row>
    <row r="15" customFormat="false" ht="15" hidden="false" customHeight="false" outlineLevel="0" collapsed="false">
      <c r="A15" s="23" t="s">
        <v>36</v>
      </c>
    </row>
    <row r="16" customFormat="false" ht="15" hidden="false" customHeight="false" outlineLevel="0" collapsed="false">
      <c r="A16" s="23" t="s">
        <v>37</v>
      </c>
    </row>
    <row r="17" customFormat="false" ht="15" hidden="false" customHeight="false" outlineLevel="0" collapsed="false">
      <c r="A17" s="23" t="s">
        <v>38</v>
      </c>
    </row>
    <row r="18" customFormat="false" ht="15" hidden="false" customHeight="false" outlineLevel="0" collapsed="false">
      <c r="A18" s="2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2026-10-12T10:22:42Z</dcterms:created>
  <dc:creator>openpyxl</dc:creator>
  <dc:description/>
  <dc:language>en-US</dc:language>
  <cp:lastModifiedBy/>
  <dcterms:modified xsi:type="dcterms:W3CDTF">2026-10-12T10:22:43Z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